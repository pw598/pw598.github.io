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pwhite\Desktop\Excel\03 Excel VBA\workbooks\not done\"/>
    </mc:Choice>
  </mc:AlternateContent>
  <xr:revisionPtr revIDLastSave="0" documentId="13_ncr:1_{24BC56E0-9BEA-44B6-B8BA-54DE8EA51C6B}" xr6:coauthVersionLast="47" xr6:coauthVersionMax="47" xr10:uidLastSave="{00000000-0000-0000-0000-000000000000}"/>
  <bookViews>
    <workbookView xWindow="-110" yWindow="-110" windowWidth="19420" windowHeight="10420" firstSheet="3" activeTab="3" xr2:uid="{261515F7-4681-473D-A5C5-61F3B3A97B13}"/>
  </bookViews>
  <sheets>
    <sheet name="Sheet5" sheetId="10" state="hidden" r:id="rId1"/>
    <sheet name="Sheet2" sheetId="12" state="hidden" r:id="rId2"/>
    <sheet name="Sheet1" sheetId="11" state="hidden" r:id="rId3"/>
    <sheet name="reprop_formulas" sheetId="2" r:id="rId4"/>
    <sheet name="click_to_filter" sheetId="4" r:id="rId5"/>
    <sheet name="click_to_filter_pt" sheetId="5" r:id="rId6"/>
    <sheet name="undo" sheetId="6" r:id="rId7"/>
    <sheet name="force_paste_values" sheetId="7" r:id="rId8"/>
  </sheets>
  <definedNames>
    <definedName name="_xlnm._FilterDatabase" localSheetId="4" hidden="1">click_to_filter!$E$3:$K$462</definedName>
  </definedNames>
  <calcPr calcId="191029"/>
  <pivotCaches>
    <pivotCache cacheId="7" r:id="rId9"/>
    <pivotCache cacheId="1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7" l="1"/>
  <c r="O358" i="2" l="1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</calcChain>
</file>

<file path=xl/sharedStrings.xml><?xml version="1.0" encoding="utf-8"?>
<sst xmlns="http://schemas.openxmlformats.org/spreadsheetml/2006/main" count="5387" uniqueCount="600">
  <si>
    <t>(All)</t>
  </si>
  <si>
    <t>Column Labels</t>
  </si>
  <si>
    <t>Order Date</t>
  </si>
  <si>
    <t>Customer Name</t>
  </si>
  <si>
    <t>Customer Segment</t>
  </si>
  <si>
    <t>Region</t>
  </si>
  <si>
    <t>State</t>
  </si>
  <si>
    <t>City</t>
  </si>
  <si>
    <t>Sales</t>
  </si>
  <si>
    <t>David Wiener</t>
  </si>
  <si>
    <t>Corporate</t>
  </si>
  <si>
    <t>West</t>
  </si>
  <si>
    <t>Oregon</t>
  </si>
  <si>
    <t>Springfield</t>
  </si>
  <si>
    <t>Xylona Preis</t>
  </si>
  <si>
    <t>Consumer</t>
  </si>
  <si>
    <t>Central</t>
  </si>
  <si>
    <t>Michigan</t>
  </si>
  <si>
    <t>Westland</t>
  </si>
  <si>
    <t>Marina Lichtenstein</t>
  </si>
  <si>
    <t>Washington</t>
  </si>
  <si>
    <t>Seattle</t>
  </si>
  <si>
    <t>Michael Nguyen</t>
  </si>
  <si>
    <t>Texas</t>
  </si>
  <si>
    <t>Dallas</t>
  </si>
  <si>
    <t>Sam Craven</t>
  </si>
  <si>
    <t>Houston</t>
  </si>
  <si>
    <t>Filia McAdams</t>
  </si>
  <si>
    <t>South</t>
  </si>
  <si>
    <t>Kentucky</t>
  </si>
  <si>
    <t>Richmond</t>
  </si>
  <si>
    <t>Bradley Nguyen</t>
  </si>
  <si>
    <t>Minnesota</t>
  </si>
  <si>
    <t>Lakeville</t>
  </si>
  <si>
    <t>Mark Haberlin</t>
  </si>
  <si>
    <t>Mississippi</t>
  </si>
  <si>
    <t>Jackson</t>
  </si>
  <si>
    <t>Alex Avila</t>
  </si>
  <si>
    <t>California</t>
  </si>
  <si>
    <t>San Francisco</t>
  </si>
  <si>
    <t>Rob Dowd</t>
  </si>
  <si>
    <t>Georgia</t>
  </si>
  <si>
    <t>Athens</t>
  </si>
  <si>
    <t>Paul Stevenson</t>
  </si>
  <si>
    <t>Home Office</t>
  </si>
  <si>
    <t>Los Angeles</t>
  </si>
  <si>
    <t>Beth Thompson</t>
  </si>
  <si>
    <t>San Gabriel</t>
  </si>
  <si>
    <t>Andrew Roberts</t>
  </si>
  <si>
    <t>East</t>
  </si>
  <si>
    <t>Ohio</t>
  </si>
  <si>
    <t>Columbus</t>
  </si>
  <si>
    <t>Bill Shonely</t>
  </si>
  <si>
    <t>Brooke Gillingham</t>
  </si>
  <si>
    <t>New York</t>
  </si>
  <si>
    <t>Watertown</t>
  </si>
  <si>
    <t>Randy Ferguson</t>
  </si>
  <si>
    <t>New Hampshire</t>
  </si>
  <si>
    <t>Dover</t>
  </si>
  <si>
    <t>Frank Gastineau</t>
  </si>
  <si>
    <t>Massachusetts</t>
  </si>
  <si>
    <t>Lawrence</t>
  </si>
  <si>
    <t>Greg Tran</t>
  </si>
  <si>
    <t>New York City</t>
  </si>
  <si>
    <t>Janet Lee</t>
  </si>
  <si>
    <t>Illinois</t>
  </si>
  <si>
    <t>Chicago</t>
  </si>
  <si>
    <t>Laurel Workman</t>
  </si>
  <si>
    <t>Dianna Wilson</t>
  </si>
  <si>
    <t>Quincy Jones</t>
  </si>
  <si>
    <t>Detroit</t>
  </si>
  <si>
    <t>Bobby Trafton</t>
  </si>
  <si>
    <t>Brosina Hoffman</t>
  </si>
  <si>
    <t>Corey-Lock</t>
  </si>
  <si>
    <t>Oklahoma</t>
  </si>
  <si>
    <t>Lawton</t>
  </si>
  <si>
    <t>Natalie Webber</t>
  </si>
  <si>
    <t>Pennsylvania</t>
  </si>
  <si>
    <t>Philadelphia</t>
  </si>
  <si>
    <t>Toby Braunhardt</t>
  </si>
  <si>
    <t>Katrina Edelman</t>
  </si>
  <si>
    <t>Colorado</t>
  </si>
  <si>
    <t>Aurora</t>
  </si>
  <si>
    <t>Shirley Schmidt</t>
  </si>
  <si>
    <t>Delaware</t>
  </si>
  <si>
    <t>Newark</t>
  </si>
  <si>
    <t>Harry Marie</t>
  </si>
  <si>
    <t>Luke Foster</t>
  </si>
  <si>
    <t>San Antonio</t>
  </si>
  <si>
    <t>Barbara Fisher</t>
  </si>
  <si>
    <t>North Carolina</t>
  </si>
  <si>
    <t>Charlotte</t>
  </si>
  <si>
    <t>Bruce Stewart</t>
  </si>
  <si>
    <t>Denver</t>
  </si>
  <si>
    <t>Valerie Dominguez</t>
  </si>
  <si>
    <t>Utah</t>
  </si>
  <si>
    <t>Pleasant Grove</t>
  </si>
  <si>
    <t>Maine</t>
  </si>
  <si>
    <t>Bangor</t>
  </si>
  <si>
    <t>Ricardo Sperren</t>
  </si>
  <si>
    <t>Connecticut</t>
  </si>
  <si>
    <t>Meriden</t>
  </si>
  <si>
    <t>Lena Radford</t>
  </si>
  <si>
    <t>San Diego</t>
  </si>
  <si>
    <t>Matt Abelman</t>
  </si>
  <si>
    <t>Trenton</t>
  </si>
  <si>
    <t>Duane Huffman</t>
  </si>
  <si>
    <t>Florida</t>
  </si>
  <si>
    <t>Miami</t>
  </si>
  <si>
    <t>Christine Sundaresam</t>
  </si>
  <si>
    <t>Hollywood</t>
  </si>
  <si>
    <t>Justin MacKendrick</t>
  </si>
  <si>
    <t>Becky Martin</t>
  </si>
  <si>
    <t>Dennis Pardue</t>
  </si>
  <si>
    <t>Stefania Perrino</t>
  </si>
  <si>
    <t>Long Beach</t>
  </si>
  <si>
    <t>Sandra Flanagan</t>
  </si>
  <si>
    <t>New Jersey</t>
  </si>
  <si>
    <t>Clifton</t>
  </si>
  <si>
    <t>Brad Norvell</t>
  </si>
  <si>
    <t>Cary</t>
  </si>
  <si>
    <t>Resi PÃ¶lking</t>
  </si>
  <si>
    <t>Jennifer Braxton</t>
  </si>
  <si>
    <t>Cynthia Arntzen</t>
  </si>
  <si>
    <t>Tampa</t>
  </si>
  <si>
    <t>Darrin Martin</t>
  </si>
  <si>
    <t>Michelle Arnett</t>
  </si>
  <si>
    <t>Mitch Webber</t>
  </si>
  <si>
    <t>Brian Moss</t>
  </si>
  <si>
    <t>Nebraska</t>
  </si>
  <si>
    <t>Omaha</t>
  </si>
  <si>
    <t>Nicole Brennan</t>
  </si>
  <si>
    <t>Craig Molinari</t>
  </si>
  <si>
    <t>Dianna Arnett</t>
  </si>
  <si>
    <t>Lancaster</t>
  </si>
  <si>
    <t>Kelly Williams</t>
  </si>
  <si>
    <t>Tennessee</t>
  </si>
  <si>
    <t>Clarksville</t>
  </si>
  <si>
    <t>Dario Medina</t>
  </si>
  <si>
    <t>Fairfield</t>
  </si>
  <si>
    <t>Brian Derr</t>
  </si>
  <si>
    <t>Zuschuss Carroll</t>
  </si>
  <si>
    <t>Edmonds</t>
  </si>
  <si>
    <t>Hunter Glantz</t>
  </si>
  <si>
    <t>Fort Worth</t>
  </si>
  <si>
    <t>Tracy Blumstein</t>
  </si>
  <si>
    <t>Daniel Lacy</t>
  </si>
  <si>
    <t>Deirdre Greer</t>
  </si>
  <si>
    <t>Orange</t>
  </si>
  <si>
    <t>Odella Nelson</t>
  </si>
  <si>
    <t>Maribeth Schnelling</t>
  </si>
  <si>
    <t>Wisconsin</t>
  </si>
  <si>
    <t>Wausau</t>
  </si>
  <si>
    <t>Mary Zewe</t>
  </si>
  <si>
    <t>Jamie Frazer</t>
  </si>
  <si>
    <t>Johnson City</t>
  </si>
  <si>
    <t>Thomas Seio</t>
  </si>
  <si>
    <t>Ruben Ausman</t>
  </si>
  <si>
    <t>Saphhira Shifley</t>
  </si>
  <si>
    <t>Mesquite</t>
  </si>
  <si>
    <t>Brentwood</t>
  </si>
  <si>
    <t>Luke Schmidt</t>
  </si>
  <si>
    <t>Fresno</t>
  </si>
  <si>
    <t>Sheri Gordon</t>
  </si>
  <si>
    <t>Matt Collins</t>
  </si>
  <si>
    <t>Joni Blumstein</t>
  </si>
  <si>
    <t>Berenike Kampe</t>
  </si>
  <si>
    <t>Tony Sayre</t>
  </si>
  <si>
    <t>Columbia</t>
  </si>
  <si>
    <t>William Brown</t>
  </si>
  <si>
    <t>Grand Prairie</t>
  </si>
  <si>
    <t>Sarah Foster</t>
  </si>
  <si>
    <t>Indiana</t>
  </si>
  <si>
    <t>Tiffany House</t>
  </si>
  <si>
    <t>Ben Ferrer</t>
  </si>
  <si>
    <t>Adam Shillingsburg</t>
  </si>
  <si>
    <t>Maureen Gnade</t>
  </si>
  <si>
    <t>Cynthia Delaney</t>
  </si>
  <si>
    <t>Moreno Valley</t>
  </si>
  <si>
    <t>Anthony Jacobs</t>
  </si>
  <si>
    <t>Beverly</t>
  </si>
  <si>
    <t>Ricardo Emerson</t>
  </si>
  <si>
    <t>Kent</t>
  </si>
  <si>
    <t>Astrea Jones</t>
  </si>
  <si>
    <t>James Lanier</t>
  </si>
  <si>
    <t>Craig Carroll</t>
  </si>
  <si>
    <t>Henderson</t>
  </si>
  <si>
    <t>Lindsay Castell</t>
  </si>
  <si>
    <t>New Castle</t>
  </si>
  <si>
    <t>Julia West</t>
  </si>
  <si>
    <t>Jacksonville</t>
  </si>
  <si>
    <t>Ben Peterman</t>
  </si>
  <si>
    <t>Coral Springs</t>
  </si>
  <si>
    <t>Denny Ordway</t>
  </si>
  <si>
    <t>Michael Oakman</t>
  </si>
  <si>
    <t>Nat Carroll</t>
  </si>
  <si>
    <t>Lansing</t>
  </si>
  <si>
    <t>Valerie Takahito</t>
  </si>
  <si>
    <t>Peter Fuller</t>
  </si>
  <si>
    <t>Ivan Gibson</t>
  </si>
  <si>
    <t>Norwich</t>
  </si>
  <si>
    <t>Sanjit Engle</t>
  </si>
  <si>
    <t>Bill Tyler</t>
  </si>
  <si>
    <t>Theone Pippenger</t>
  </si>
  <si>
    <t>Theresa Swint</t>
  </si>
  <si>
    <t>Toledo</t>
  </si>
  <si>
    <t>George Ashbrook</t>
  </si>
  <si>
    <t>Patrick Gardner</t>
  </si>
  <si>
    <t>Carrollton</t>
  </si>
  <si>
    <t>John Lucas</t>
  </si>
  <si>
    <t>Trudy Schmidt</t>
  </si>
  <si>
    <t>Milwaukee</t>
  </si>
  <si>
    <t>Tony Chapman</t>
  </si>
  <si>
    <t>Russell Applegate</t>
  </si>
  <si>
    <t>Shirley Daniels</t>
  </si>
  <si>
    <t>Midland</t>
  </si>
  <si>
    <t>Stewart Visinsky</t>
  </si>
  <si>
    <t>Joel Eaton</t>
  </si>
  <si>
    <t>Frankfort</t>
  </si>
  <si>
    <t>Emily Burns</t>
  </si>
  <si>
    <t>Arizona</t>
  </si>
  <si>
    <t>Phoenix</t>
  </si>
  <si>
    <t>Nathan Mautz</t>
  </si>
  <si>
    <t>Justin Hirsh</t>
  </si>
  <si>
    <t>Pueblo</t>
  </si>
  <si>
    <t>Edward Nazzal</t>
  </si>
  <si>
    <t>Richard Bierner</t>
  </si>
  <si>
    <t>Kean Nguyen</t>
  </si>
  <si>
    <t>Tracy Hopkins</t>
  </si>
  <si>
    <t>Noel Staavos</t>
  </si>
  <si>
    <t>Maryland</t>
  </si>
  <si>
    <t>Baltimore</t>
  </si>
  <si>
    <t>Denny Blanton</t>
  </si>
  <si>
    <t>Redmond</t>
  </si>
  <si>
    <t>Tamara Dahlen</t>
  </si>
  <si>
    <t>Bolingbrook</t>
  </si>
  <si>
    <t>Fred Harton</t>
  </si>
  <si>
    <t>Atlanta</t>
  </si>
  <si>
    <t>Nancy Lomonaco</t>
  </si>
  <si>
    <t>Bristol</t>
  </si>
  <si>
    <t>Brendan Sweed</t>
  </si>
  <si>
    <t>Edward Hooks</t>
  </si>
  <si>
    <t>Revere</t>
  </si>
  <si>
    <t>Skye Norling</t>
  </si>
  <si>
    <t>Paterson</t>
  </si>
  <si>
    <t>Muhammed MacIntyre</t>
  </si>
  <si>
    <t>Shaun Chance</t>
  </si>
  <si>
    <t>Rick Wilson</t>
  </si>
  <si>
    <t>Mesa</t>
  </si>
  <si>
    <t>Henry Goldwyn</t>
  </si>
  <si>
    <t>Jennifer Jackson</t>
  </si>
  <si>
    <t>Roy Phan</t>
  </si>
  <si>
    <t>Joel Jenkins</t>
  </si>
  <si>
    <t>Virginia</t>
  </si>
  <si>
    <t>Ann Arbor</t>
  </si>
  <si>
    <t>Fred McMath</t>
  </si>
  <si>
    <t>Kristina Nunn</t>
  </si>
  <si>
    <t>Mcallen</t>
  </si>
  <si>
    <t>Robert Marley</t>
  </si>
  <si>
    <t>Kristen Hastings</t>
  </si>
  <si>
    <t>Thomas Thornton</t>
  </si>
  <si>
    <t>Virginia Beach</t>
  </si>
  <si>
    <t>Emily Grady</t>
  </si>
  <si>
    <t>Chesapeake</t>
  </si>
  <si>
    <t>Rob Haberlin</t>
  </si>
  <si>
    <t>Hampton</t>
  </si>
  <si>
    <t>Philisse Overcash</t>
  </si>
  <si>
    <t>Roseville</t>
  </si>
  <si>
    <t>Andrew Gjertsen</t>
  </si>
  <si>
    <t>Patrick Jones</t>
  </si>
  <si>
    <t>Aleksandra Gannaway</t>
  </si>
  <si>
    <t>Nevada</t>
  </si>
  <si>
    <t>Las Vegas</t>
  </si>
  <si>
    <t>Denise Leinenbach</t>
  </si>
  <si>
    <t>Eudokia Martin</t>
  </si>
  <si>
    <t>Brenda Bowman</t>
  </si>
  <si>
    <t>Harold Pawlan</t>
  </si>
  <si>
    <t>Annie Thurman</t>
  </si>
  <si>
    <t>Morristown</t>
  </si>
  <si>
    <t>Ashley Jarboe</t>
  </si>
  <si>
    <t>Sylvia Foulston</t>
  </si>
  <si>
    <t>Dearborn</t>
  </si>
  <si>
    <t>Durham</t>
  </si>
  <si>
    <t>Art Ferguson</t>
  </si>
  <si>
    <t>Darren Koutras</t>
  </si>
  <si>
    <t>Rachel Payne</t>
  </si>
  <si>
    <t>Riverside</t>
  </si>
  <si>
    <t>Joseph Holt</t>
  </si>
  <si>
    <t>Jay Kimmel</t>
  </si>
  <si>
    <t>John Murray</t>
  </si>
  <si>
    <t>Arlington</t>
  </si>
  <si>
    <t>Elpida Rittenbach</t>
  </si>
  <si>
    <t>Colorado Springs</t>
  </si>
  <si>
    <t>Bradley Drucker</t>
  </si>
  <si>
    <t>Jim Kriz</t>
  </si>
  <si>
    <t>Brad Thomas</t>
  </si>
  <si>
    <t>Clinton</t>
  </si>
  <si>
    <t>Arthur Gainer</t>
  </si>
  <si>
    <t>Carlos Meador</t>
  </si>
  <si>
    <t>Fayetteville</t>
  </si>
  <si>
    <t>Erin Ashbrook</t>
  </si>
  <si>
    <t>Paul Van Hugh</t>
  </si>
  <si>
    <t>Dan Lawera</t>
  </si>
  <si>
    <t>Lena Cacioppo</t>
  </si>
  <si>
    <t>Stephanie Phelps</t>
  </si>
  <si>
    <t>Dean Katz</t>
  </si>
  <si>
    <t>Tamara Willingham</t>
  </si>
  <si>
    <t>Scottsdale</t>
  </si>
  <si>
    <t>Adam Bellavance</t>
  </si>
  <si>
    <t>Waynesboro</t>
  </si>
  <si>
    <t>Gary Zandusky</t>
  </si>
  <si>
    <t>Dave Brooks</t>
  </si>
  <si>
    <t>Barry Blumstein</t>
  </si>
  <si>
    <t>Sierra Vista</t>
  </si>
  <si>
    <t>Brian Thompson</t>
  </si>
  <si>
    <t>Roy FranzÃ¶sisch</t>
  </si>
  <si>
    <t>Sibella Parks</t>
  </si>
  <si>
    <t>Tanja Norvell</t>
  </si>
  <si>
    <t>Christy Brittain</t>
  </si>
  <si>
    <t>Brad Eason</t>
  </si>
  <si>
    <t>Missouri</t>
  </si>
  <si>
    <t>Cynthia Voltz</t>
  </si>
  <si>
    <t>Austin</t>
  </si>
  <si>
    <t>Vivian Mathis</t>
  </si>
  <si>
    <t>Mission Viejo</t>
  </si>
  <si>
    <t>Anna HÃ¤berlin</t>
  </si>
  <si>
    <t>Passaic</t>
  </si>
  <si>
    <t>Clay Ludtke</t>
  </si>
  <si>
    <t>Hamilton</t>
  </si>
  <si>
    <t>Eugene Moren</t>
  </si>
  <si>
    <t>Superior</t>
  </si>
  <si>
    <t>Chloris Kastensmidt</t>
  </si>
  <si>
    <t>Santa Clara</t>
  </si>
  <si>
    <t>Stewart Carmichael</t>
  </si>
  <si>
    <t>Alabama</t>
  </si>
  <si>
    <t>Decatur</t>
  </si>
  <si>
    <t>Arthur Wiediger</t>
  </si>
  <si>
    <t>Catherine Glotzbach</t>
  </si>
  <si>
    <t>Roy Collins</t>
  </si>
  <si>
    <t>Pasadena</t>
  </si>
  <si>
    <t>Dave Hallsten</t>
  </si>
  <si>
    <t>Max Jones</t>
  </si>
  <si>
    <t>Alan Shonely</t>
  </si>
  <si>
    <t>Becky Pak</t>
  </si>
  <si>
    <t>Raymond Buch</t>
  </si>
  <si>
    <t>Matt Collister</t>
  </si>
  <si>
    <t>Perth Amboy</t>
  </si>
  <si>
    <t>Maureen Fritzler</t>
  </si>
  <si>
    <t>Rick Reed</t>
  </si>
  <si>
    <t>Olvera Toch</t>
  </si>
  <si>
    <t>Bethlehem</t>
  </si>
  <si>
    <t>Rob Williams</t>
  </si>
  <si>
    <t>Ken Lonsdale</t>
  </si>
  <si>
    <t>Cathy Armstrong</t>
  </si>
  <si>
    <t>Helen Andreada</t>
  </si>
  <si>
    <t>Louisiana</t>
  </si>
  <si>
    <t>Kenner</t>
  </si>
  <si>
    <t>Carol Triggs</t>
  </si>
  <si>
    <t>Irving</t>
  </si>
  <si>
    <t>Max Engle</t>
  </si>
  <si>
    <t>Helen Wasserman</t>
  </si>
  <si>
    <t>Craig Reiter</t>
  </si>
  <si>
    <t>Maxwell Schwartz</t>
  </si>
  <si>
    <t>Jennifer Patt</t>
  </si>
  <si>
    <t>Joseph Airdo</t>
  </si>
  <si>
    <t>Joe Elijah</t>
  </si>
  <si>
    <t>Delfina Latchford</t>
  </si>
  <si>
    <t>Knoxville</t>
  </si>
  <si>
    <t>Gary Hansen</t>
  </si>
  <si>
    <t>Saint Paul</t>
  </si>
  <si>
    <t>Michael Grace</t>
  </si>
  <si>
    <t>Alejandro Grove</t>
  </si>
  <si>
    <t>Keith Dawkins</t>
  </si>
  <si>
    <t>San Jose</t>
  </si>
  <si>
    <t>Helen Abelman</t>
  </si>
  <si>
    <t>Cleveland</t>
  </si>
  <si>
    <t>Steve Nguyen</t>
  </si>
  <si>
    <t>Covington</t>
  </si>
  <si>
    <t>Lisa Ryan</t>
  </si>
  <si>
    <t>Tim Taslimi</t>
  </si>
  <si>
    <t>Oklahoma City</t>
  </si>
  <si>
    <t>Frank Carlisle</t>
  </si>
  <si>
    <t>Bart Pistole</t>
  </si>
  <si>
    <t>Jim Mitchum</t>
  </si>
  <si>
    <t>Bridgeton</t>
  </si>
  <si>
    <t>Phillip Flathmann</t>
  </si>
  <si>
    <t>Paul Prost</t>
  </si>
  <si>
    <t>Arianne Irving</t>
  </si>
  <si>
    <t>Laurel Beltran</t>
  </si>
  <si>
    <t>Apopka</t>
  </si>
  <si>
    <t>Frank Hawley</t>
  </si>
  <si>
    <t>La Porte</t>
  </si>
  <si>
    <t>Susan Pistek</t>
  </si>
  <si>
    <t>Parma</t>
  </si>
  <si>
    <t>Sean Braxton</t>
  </si>
  <si>
    <t>Tracy Collins</t>
  </si>
  <si>
    <t>Indianapolis</t>
  </si>
  <si>
    <t>Natalie DeCherney</t>
  </si>
  <si>
    <t>Matt Connell</t>
  </si>
  <si>
    <t>Sample Company A</t>
  </si>
  <si>
    <t>Hialeah</t>
  </si>
  <si>
    <t>Victoria Brennan</t>
  </si>
  <si>
    <t>Lincoln Park</t>
  </si>
  <si>
    <t>San Angelo</t>
  </si>
  <si>
    <t>Eva Jacobs</t>
  </si>
  <si>
    <t>Franklin</t>
  </si>
  <si>
    <t>Jonathan Doherty</t>
  </si>
  <si>
    <t>Caroline Jumper</t>
  </si>
  <si>
    <t>Ken Black</t>
  </si>
  <si>
    <t>Fremont</t>
  </si>
  <si>
    <t>Logan Haushalter</t>
  </si>
  <si>
    <t>Arthur Prichep</t>
  </si>
  <si>
    <t>Anaheim</t>
  </si>
  <si>
    <t>Steve Chapman</t>
  </si>
  <si>
    <t>Mike Pelletier</t>
  </si>
  <si>
    <t>Goldsboro</t>
  </si>
  <si>
    <t>Alan Haines</t>
  </si>
  <si>
    <t>Tamarac</t>
  </si>
  <si>
    <t>Sally Hughsby</t>
  </si>
  <si>
    <t>Mike Caudle</t>
  </si>
  <si>
    <t>Vineland</t>
  </si>
  <si>
    <t>Carlos Daly</t>
  </si>
  <si>
    <t>Kansas</t>
  </si>
  <si>
    <t>Wichita</t>
  </si>
  <si>
    <t>Janet Martin</t>
  </si>
  <si>
    <t>Huntsville</t>
  </si>
  <si>
    <t>El Paso</t>
  </si>
  <si>
    <t>Robert Waldorf</t>
  </si>
  <si>
    <t>Raymond Messe</t>
  </si>
  <si>
    <t>Vermont</t>
  </si>
  <si>
    <t>Burlington</t>
  </si>
  <si>
    <t>John Lee</t>
  </si>
  <si>
    <t>Jay Fein</t>
  </si>
  <si>
    <t>Rochester</t>
  </si>
  <si>
    <t>Fred Chung</t>
  </si>
  <si>
    <t>Torrance</t>
  </si>
  <si>
    <t>Tom Prescott</t>
  </si>
  <si>
    <t>Mark Hamilton</t>
  </si>
  <si>
    <t>Minneapolis</t>
  </si>
  <si>
    <t>Nicole Hansen</t>
  </si>
  <si>
    <t>Roswell</t>
  </si>
  <si>
    <t>Julie Prescott</t>
  </si>
  <si>
    <t>Muskogee</t>
  </si>
  <si>
    <t>Bradley Talbott</t>
  </si>
  <si>
    <t>Santa Barbara</t>
  </si>
  <si>
    <t>Liz Preis</t>
  </si>
  <si>
    <t>Murray</t>
  </si>
  <si>
    <t>Claudia Bergmann</t>
  </si>
  <si>
    <t>Southaven</t>
  </si>
  <si>
    <t>Karen Seio</t>
  </si>
  <si>
    <t>Raleigh</t>
  </si>
  <si>
    <t>Shahid Collister</t>
  </si>
  <si>
    <t>Ken Dana</t>
  </si>
  <si>
    <t>Carol Darley</t>
  </si>
  <si>
    <t>Tyler</t>
  </si>
  <si>
    <t>Jason Klamczynski</t>
  </si>
  <si>
    <t>George Zrebassa</t>
  </si>
  <si>
    <t>Pauline Webber</t>
  </si>
  <si>
    <t>Pompano Beach</t>
  </si>
  <si>
    <t>Christina VanderZanden</t>
  </si>
  <si>
    <t>Heather Kirkland</t>
  </si>
  <si>
    <t>Scott Cohen</t>
  </si>
  <si>
    <t>Barry FranzÃ¶sisch</t>
  </si>
  <si>
    <t>Karen Ferguson</t>
  </si>
  <si>
    <t>Plainfield</t>
  </si>
  <si>
    <t>Jesus Ocampo</t>
  </si>
  <si>
    <t>Shirley Jackson</t>
  </si>
  <si>
    <t>Sally Knutson</t>
  </si>
  <si>
    <t>Damala Kotsonis</t>
  </si>
  <si>
    <t>Jack Lebron</t>
  </si>
  <si>
    <t>Wilmington</t>
  </si>
  <si>
    <t>Rancho Cucamonga</t>
  </si>
  <si>
    <t>Michelle Moray</t>
  </si>
  <si>
    <t>Charles Sheldon</t>
  </si>
  <si>
    <t>Todd Boyes</t>
  </si>
  <si>
    <t>Sandy Springs</t>
  </si>
  <si>
    <t>Roland Schwarz</t>
  </si>
  <si>
    <t>Mount Vernon</t>
  </si>
  <si>
    <t>Rick Duston</t>
  </si>
  <si>
    <t>Kimberly Carter</t>
  </si>
  <si>
    <t>Louisville</t>
  </si>
  <si>
    <t>Michael Dominguez</t>
  </si>
  <si>
    <t>Laurel</t>
  </si>
  <si>
    <t>Maris LaWare</t>
  </si>
  <si>
    <t>Nick Radford</t>
  </si>
  <si>
    <t>Pembroke Pines</t>
  </si>
  <si>
    <t>Dorris liebe</t>
  </si>
  <si>
    <t>Zuschuss Donatelli</t>
  </si>
  <si>
    <t>Nashville</t>
  </si>
  <si>
    <t>Florence</t>
  </si>
  <si>
    <t>Beth Fritzler</t>
  </si>
  <si>
    <t>Karen Bern</t>
  </si>
  <si>
    <t>Suffolk</t>
  </si>
  <si>
    <t>Elizabeth Moffitt</t>
  </si>
  <si>
    <t>South Dakota</t>
  </si>
  <si>
    <t>Sioux Falls</t>
  </si>
  <si>
    <t>Cari Schnelling</t>
  </si>
  <si>
    <t>Anna Gayman</t>
  </si>
  <si>
    <t>Roland Fjeld</t>
  </si>
  <si>
    <t>Jeremy Lonsdale</t>
  </si>
  <si>
    <t>Westminster</t>
  </si>
  <si>
    <t>Lake Forest</t>
  </si>
  <si>
    <t>Dan Campbell</t>
  </si>
  <si>
    <t>Memphis</t>
  </si>
  <si>
    <t>James Galang</t>
  </si>
  <si>
    <t>Emily Ducich</t>
  </si>
  <si>
    <t>Patrick Ryan</t>
  </si>
  <si>
    <t>Oakland</t>
  </si>
  <si>
    <t>Patrick O'Brill</t>
  </si>
  <si>
    <t>Tallahassee</t>
  </si>
  <si>
    <t>Dan Reichenbach</t>
  </si>
  <si>
    <t>Inglewood</t>
  </si>
  <si>
    <t>Shui Tom</t>
  </si>
  <si>
    <t>Port Saint Lucie</t>
  </si>
  <si>
    <t>Matthew Grinstein</t>
  </si>
  <si>
    <t>Ann Chong</t>
  </si>
  <si>
    <t>Jill Stevenson</t>
  </si>
  <si>
    <t>Portland</t>
  </si>
  <si>
    <t>Cassandra Brandow</t>
  </si>
  <si>
    <t>Cindy Chapman</t>
  </si>
  <si>
    <t>Shahid Shariari</t>
  </si>
  <si>
    <t>Georgetown</t>
  </si>
  <si>
    <t>Bart Folk</t>
  </si>
  <si>
    <t>Dorothy Badders</t>
  </si>
  <si>
    <t>Kean Thornton</t>
  </si>
  <si>
    <t>Don Weiss</t>
  </si>
  <si>
    <t>Darrin Sayre</t>
  </si>
  <si>
    <t>Bakersfield</t>
  </si>
  <si>
    <t>Cari Sayre</t>
  </si>
  <si>
    <t>Neola Schneider</t>
  </si>
  <si>
    <t>Greg Guthrie</t>
  </si>
  <si>
    <t>Chico</t>
  </si>
  <si>
    <t>Nick Zandusky</t>
  </si>
  <si>
    <t>Idaho</t>
  </si>
  <si>
    <t>Meridian</t>
  </si>
  <si>
    <t>Lakewood</t>
  </si>
  <si>
    <t>Adam Hart</t>
  </si>
  <si>
    <t>Rhode Island</t>
  </si>
  <si>
    <t>Cranston</t>
  </si>
  <si>
    <t>Jamie Kunitz</t>
  </si>
  <si>
    <t>Thea Hudgings</t>
  </si>
  <si>
    <t>Cindy Stewart</t>
  </si>
  <si>
    <t>Nora Paige</t>
  </si>
  <si>
    <t>Saint Louis</t>
  </si>
  <si>
    <t>Grant Thornton</t>
  </si>
  <si>
    <t>Jill Fjeld</t>
  </si>
  <si>
    <t>Pete Kriz</t>
  </si>
  <si>
    <t>Michael Chen</t>
  </si>
  <si>
    <t>Pasco</t>
  </si>
  <si>
    <t>Guy Armstrong</t>
  </si>
  <si>
    <t>Fort Lauderdale</t>
  </si>
  <si>
    <t>Maria Bertelson</t>
  </si>
  <si>
    <t>Longview</t>
  </si>
  <si>
    <t>Maria Etezadi</t>
  </si>
  <si>
    <t>Salem</t>
  </si>
  <si>
    <t>Jim Sink</t>
  </si>
  <si>
    <t>Miramar</t>
  </si>
  <si>
    <t>Justin Deggeller</t>
  </si>
  <si>
    <t>Barry Franz</t>
  </si>
  <si>
    <t>Jason Gross</t>
  </si>
  <si>
    <t>Odessa</t>
  </si>
  <si>
    <t>Rose O'Brian</t>
  </si>
  <si>
    <t>Corey Catlett</t>
  </si>
  <si>
    <t>Doug Bickford</t>
  </si>
  <si>
    <t>Asheville</t>
  </si>
  <si>
    <t>Max Ludwig</t>
  </si>
  <si>
    <t>Dianna Vittorini</t>
  </si>
  <si>
    <t>Joy Smith</t>
  </si>
  <si>
    <t>Alice McCarthy</t>
  </si>
  <si>
    <t>Kunst Miller</t>
  </si>
  <si>
    <t>Lowell</t>
  </si>
  <si>
    <t>Rob Beeghly</t>
  </si>
  <si>
    <t>Suzanne McNair</t>
  </si>
  <si>
    <t>Hattiesburg</t>
  </si>
  <si>
    <t>Alan Schoenberger</t>
  </si>
  <si>
    <t>Jeremy Pistek</t>
  </si>
  <si>
    <t>Madison</t>
  </si>
  <si>
    <t>Alyssa Tate</t>
  </si>
  <si>
    <t>Chris Cortes</t>
  </si>
  <si>
    <t>Dennis Kane</t>
  </si>
  <si>
    <t>Abilene</t>
  </si>
  <si>
    <t>Khloe Miller</t>
  </si>
  <si>
    <t>Logan Currie</t>
  </si>
  <si>
    <t>Doug Jacobs</t>
  </si>
  <si>
    <t>Beth Paige</t>
  </si>
  <si>
    <t>Sandra Glassco</t>
  </si>
  <si>
    <t>Independence</t>
  </si>
  <si>
    <t>Michael Moore</t>
  </si>
  <si>
    <t>College Station</t>
  </si>
  <si>
    <t>Chuck Clark</t>
  </si>
  <si>
    <t>Row Labels</t>
  </si>
  <si>
    <t>Sum of Sales</t>
  </si>
  <si>
    <t>Average per Region</t>
  </si>
  <si>
    <t>&lt;&lt; filter to see formulas adjust to number of rows</t>
  </si>
  <si>
    <t>double-click on headers to sort table (descending)</t>
  </si>
  <si>
    <t>Regions</t>
  </si>
  <si>
    <t>double click the below regions to filter</t>
  </si>
  <si>
    <t>Input a Number:</t>
  </si>
  <si>
    <t>(see what happens if you put in text)</t>
  </si>
  <si>
    <t>&lt;&lt; try copying the formatted formula in B2 and pasting it elsewhere on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</si>
</sst>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3" fillId="5" borderId="1" applyNumberFormat="0" applyAlignment="0" applyProtection="0"/>
  </cellStyleXfs>
  <cellXfs count="12">
    <xf numFmtId="0" fontId="0" fillId="0" borderId="0" xfId="0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/>
    <xf numFmtId="14" fontId="1" fillId="3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1" fillId="4" borderId="0" xfId="0" applyFont="1" applyFill="1" applyAlignment="1">
      <alignment horizontal="left"/>
    </xf>
    <xf numFmtId="0" fontId="2" fillId="0" borderId="0" xfId="0" applyFont="1"/>
    <xf numFmtId="0" fontId="3" fillId="5" borderId="1" xfId="1"/>
    <xf numFmtId="0" fontId="0" fillId="0" borderId="0" xfId="0" applyNumberFormat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338667</xdr:colOff>
      <xdr:row>1</xdr:row>
      <xdr:rowOff>63500</xdr:rowOff>
    </xdr:from>
    <xdr:to>
      <xdr:col>2</xdr:col>
      <xdr:colOff>479779</xdr:colOff>
      <xdr:row>2</xdr:row>
      <xdr:rowOff>162277</xdr:rowOff>
    </xdr:to>
    <xdr:sp macro="[0]!ClearFilter" textlink="">
      <xdr:nvSpPr>
        <xdr:cNvPr id="3" name="Rectangle 2">
          <a:extLst>
            <a:ext uri="{FF2B5EF4-FFF2-40B4-BE49-F238E27FC236}">
              <a16:creationId xmlns:a16="http://schemas.microsoft.com/office/drawing/2014/main" id="{EF14B4DF-B30A-4598-841B-E9CBE4978E2B}"/>
            </a:ext>
          </a:extLst>
        </xdr:cNvPr>
        <xdr:cNvSpPr/>
      </xdr:nvSpPr>
      <xdr:spPr>
        <a:xfrm>
          <a:off x="1065389" y="246944"/>
          <a:ext cx="867834" cy="28222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Filter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543278</xdr:colOff>
      <xdr:row>2</xdr:row>
      <xdr:rowOff>14111</xdr:rowOff>
    </xdr:from>
    <xdr:to>
      <xdr:col>2</xdr:col>
      <xdr:colOff>684390</xdr:colOff>
      <xdr:row>3</xdr:row>
      <xdr:rowOff>112889</xdr:rowOff>
    </xdr:to>
    <xdr:sp macro="[0]!ClearFiltersPT" textlink="">
      <xdr:nvSpPr>
        <xdr:cNvPr id="2" name="Rectangle 1">
          <a:extLst>
            <a:ext uri="{FF2B5EF4-FFF2-40B4-BE49-F238E27FC236}">
              <a16:creationId xmlns:a16="http://schemas.microsoft.com/office/drawing/2014/main" id="{33C3ACBB-A84C-492F-83E6-009DD8511941}"/>
            </a:ext>
          </a:extLst>
        </xdr:cNvPr>
        <xdr:cNvSpPr/>
      </xdr:nvSpPr>
      <xdr:spPr>
        <a:xfrm>
          <a:off x="5635978" y="382411"/>
          <a:ext cx="865012" cy="2829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Filter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hite, Patrick" refreshedDate="45503.483130555556" createdVersion="3" refreshedVersion="8" minRefreshableVersion="3" recordCount="459" xr:uid="{354CCE12-22D8-4593-B60C-40C827C64BD0}">
  <cacheSource type="worksheet">
    <worksheetSource ref="A4:G463" sheet="reprop_formulas"/>
  </cacheSource>
  <cacheFields count="7">
    <cacheField name="Order Date" numFmtId="14">
      <sharedItems containsSemiMixedTypes="0" containsNonDate="0" containsDate="1" containsString="0" minDate="2016-01-17T00:00:00" maxDate="2019-12-30T00:00:00"/>
    </cacheField>
    <cacheField name="Customer Name" numFmtId="0">
      <sharedItems count="354">
        <s v="David Wiener"/>
        <s v="Xylona Preis"/>
        <s v="Marina Lichtenstein"/>
        <s v="Michael Nguyen"/>
        <s v="Sam Craven"/>
        <s v="Filia McAdams"/>
        <s v="Bradley Nguyen"/>
        <s v="Mark Haberlin"/>
        <s v="Alex Avila"/>
        <s v="Rob Dowd"/>
        <s v="Paul Stevenson"/>
        <s v="Beth Thompson"/>
        <s v="Andrew Roberts"/>
        <s v="Bill Shonely"/>
        <s v="Brooke Gillingham"/>
        <s v="Randy Ferguson"/>
        <s v="Frank Gastineau"/>
        <s v="Greg Tran"/>
        <s v="Janet Lee"/>
        <s v="Laurel Workman"/>
        <s v="Dianna Wilson"/>
        <s v="Quincy Jones"/>
        <s v="Bobby Trafton"/>
        <s v="Brosina Hoffman"/>
        <s v="Corey-Lock"/>
        <s v="Natalie Webber"/>
        <s v="Toby Braunhardt"/>
        <s v="Katrina Edelman"/>
        <s v="Shirley Schmidt"/>
        <s v="Harry Marie"/>
        <s v="Luke Foster"/>
        <s v="Barbara Fisher"/>
        <s v="Bruce Stewart"/>
        <s v="Valerie Dominguez"/>
        <s v="Ricardo Sperren"/>
        <s v="Lena Radford"/>
        <s v="Matt Abelman"/>
        <s v="Duane Huffman"/>
        <s v="Christine Sundaresam"/>
        <s v="Justin MacKendrick"/>
        <s v="Becky Martin"/>
        <s v="Dennis Pardue"/>
        <s v="Stefania Perrino"/>
        <s v="Sandra Flanagan"/>
        <s v="Brad Norvell"/>
        <s v="Resi PÃ¶lking"/>
        <s v="Jennifer Braxton"/>
        <s v="Cynthia Arntzen"/>
        <s v="Darrin Martin"/>
        <s v="Michelle Arnett"/>
        <s v="Mitch Webber"/>
        <s v="Brian Moss"/>
        <s v="Nicole Brennan"/>
        <s v="Craig Molinari"/>
        <s v="Dianna Arnett"/>
        <s v="Kelly Williams"/>
        <s v="Dario Medina"/>
        <s v="Brian Derr"/>
        <s v="Zuschuss Carroll"/>
        <s v="Hunter Glantz"/>
        <s v="Tracy Blumstein"/>
        <s v="Daniel Lacy"/>
        <s v="Deirdre Greer"/>
        <s v="Odella Nelson"/>
        <s v="Maribeth Schnelling"/>
        <s v="Mary Zewe"/>
        <s v="Jamie Frazer"/>
        <s v="Thomas Seio"/>
        <s v="Ruben Ausman"/>
        <s v="Saphhira Shifley"/>
        <s v="Luke Schmidt"/>
        <s v="Sheri Gordon"/>
        <s v="Matt Collins"/>
        <s v="Joni Blumstein"/>
        <s v="Berenike Kampe"/>
        <s v="Tony Sayre"/>
        <s v="William Brown"/>
        <s v="Sarah Foster"/>
        <s v="Tiffany House"/>
        <s v="Ben Ferrer"/>
        <s v="Adam Shillingsburg"/>
        <s v="Maureen Gnade"/>
        <s v="Cynthia Delaney"/>
        <s v="Anthony Jacobs"/>
        <s v="Ricardo Emerson"/>
        <s v="Astrea Jones"/>
        <s v="James Lanier"/>
        <s v="Craig Carroll"/>
        <s v="Lindsay Castell"/>
        <s v="Julia West"/>
        <s v="Ben Peterman"/>
        <s v="Denny Ordway"/>
        <s v="Michael Oakman"/>
        <s v="Nat Carroll"/>
        <s v="Valerie Takahito"/>
        <s v="Peter Fuller"/>
        <s v="Ivan Gibson"/>
        <s v="Sanjit Engle"/>
        <s v="Bill Tyler"/>
        <s v="Theone Pippenger"/>
        <s v="Theresa Swint"/>
        <s v="George Ashbrook"/>
        <s v="Patrick Gardner"/>
        <s v="John Lucas"/>
        <s v="Trudy Schmidt"/>
        <s v="Tony Chapman"/>
        <s v="Russell Applegate"/>
        <s v="Shirley Daniels"/>
        <s v="Stewart Visinsky"/>
        <s v="Joel Eaton"/>
        <s v="Emily Burns"/>
        <s v="Nathan Mautz"/>
        <s v="Justin Hirsh"/>
        <s v="Edward Nazzal"/>
        <s v="Richard Bierner"/>
        <s v="Kean Nguyen"/>
        <s v="Tracy Hopkins"/>
        <s v="Noel Staavos"/>
        <s v="Denny Blanton"/>
        <s v="Tamara Dahlen"/>
        <s v="Fred Harton"/>
        <s v="Nancy Lomonaco"/>
        <s v="Brendan Sweed"/>
        <s v="Edward Hooks"/>
        <s v="Skye Norling"/>
        <s v="Muhammed MacIntyre"/>
        <s v="Shaun Chance"/>
        <s v="Rick Wilson"/>
        <s v="Henry Goldwyn"/>
        <s v="Jennifer Jackson"/>
        <s v="Roy Phan"/>
        <s v="Joel Jenkins"/>
        <s v="Fred McMath"/>
        <s v="Kristina Nunn"/>
        <s v="Robert Marley"/>
        <s v="Kristen Hastings"/>
        <s v="Thomas Thornton"/>
        <s v="Emily Grady"/>
        <s v="Rob Haberlin"/>
        <s v="Philisse Overcash"/>
        <s v="Andrew Gjertsen"/>
        <s v="Patrick Jones"/>
        <s v="Aleksandra Gannaway"/>
        <s v="Denise Leinenbach"/>
        <s v="Eudokia Martin"/>
        <s v="Brenda Bowman"/>
        <s v="Harold Pawlan"/>
        <s v="Annie Thurman"/>
        <s v="Ashley Jarboe"/>
        <s v="Sylvia Foulston"/>
        <s v="Art Ferguson"/>
        <s v="Darren Koutras"/>
        <s v="Rachel Payne"/>
        <s v="Joseph Holt"/>
        <s v="Jay Kimmel"/>
        <s v="John Murray"/>
        <s v="Elpida Rittenbach"/>
        <s v="Bradley Drucker"/>
        <s v="Jim Kriz"/>
        <s v="Brad Thomas"/>
        <s v="Arthur Gainer"/>
        <s v="Carlos Meador"/>
        <s v="Erin Ashbrook"/>
        <s v="Paul Van Hugh"/>
        <s v="Dan Lawera"/>
        <s v="Lena Cacioppo"/>
        <s v="Stephanie Phelps"/>
        <s v="Dean Katz"/>
        <s v="Tamara Willingham"/>
        <s v="Adam Bellavance"/>
        <s v="Gary Zandusky"/>
        <s v="Dave Brooks"/>
        <s v="Barry Blumstein"/>
        <s v="Brian Thompson"/>
        <s v="Roy FranzÃ¶sisch"/>
        <s v="Sibella Parks"/>
        <s v="Tanja Norvell"/>
        <s v="Christy Brittain"/>
        <s v="Brad Eason"/>
        <s v="Cynthia Voltz"/>
        <s v="Vivian Mathis"/>
        <s v="Anna HÃ¤berlin"/>
        <s v="Clay Ludtke"/>
        <s v="Eugene Moren"/>
        <s v="Chloris Kastensmidt"/>
        <s v="Stewart Carmichael"/>
        <s v="Arthur Wiediger"/>
        <s v="Catherine Glotzbach"/>
        <s v="Roy Collins"/>
        <s v="Dave Hallsten"/>
        <s v="Max Jones"/>
        <s v="Alan Shonely"/>
        <s v="Becky Pak"/>
        <s v="Raymond Buch"/>
        <s v="Matt Collister"/>
        <s v="Maureen Fritzler"/>
        <s v="Rick Reed"/>
        <s v="Olvera Toch"/>
        <s v="Rob Williams"/>
        <s v="Ken Lonsdale"/>
        <s v="Cathy Armstrong"/>
        <s v="Helen Andreada"/>
        <s v="Carol Triggs"/>
        <s v="Max Engle"/>
        <s v="Helen Wasserman"/>
        <s v="Craig Reiter"/>
        <s v="Maxwell Schwartz"/>
        <s v="Jennifer Patt"/>
        <s v="Joseph Airdo"/>
        <s v="Joe Elijah"/>
        <s v="Delfina Latchford"/>
        <s v="Gary Hansen"/>
        <s v="Michael Grace"/>
        <s v="Alejandro Grove"/>
        <s v="Keith Dawkins"/>
        <s v="Helen Abelman"/>
        <s v="Steve Nguyen"/>
        <s v="Lisa Ryan"/>
        <s v="Tim Taslimi"/>
        <s v="Frank Carlisle"/>
        <s v="Bart Pistole"/>
        <s v="Jim Mitchum"/>
        <s v="Phillip Flathmann"/>
        <s v="Paul Prost"/>
        <s v="Arianne Irving"/>
        <s v="Laurel Beltran"/>
        <s v="Frank Hawley"/>
        <s v="Susan Pistek"/>
        <s v="Sean Braxton"/>
        <s v="Tracy Collins"/>
        <s v="Natalie DeCherney"/>
        <s v="Matt Connell"/>
        <s v="Sample Company A"/>
        <s v="Victoria Brennan"/>
        <s v="Eva Jacobs"/>
        <s v="Jonathan Doherty"/>
        <s v="Caroline Jumper"/>
        <s v="Ken Black"/>
        <s v="Logan Haushalter"/>
        <s v="Arthur Prichep"/>
        <s v="Steve Chapman"/>
        <s v="Mike Pelletier"/>
        <s v="Alan Haines"/>
        <s v="Sally Hughsby"/>
        <s v="Mike Caudle"/>
        <s v="Carlos Daly"/>
        <s v="Janet Martin"/>
        <s v="Robert Waldorf"/>
        <s v="Raymond Messe"/>
        <s v="John Lee"/>
        <s v="Jay Fein"/>
        <s v="Fred Chung"/>
        <s v="Tom Prescott"/>
        <s v="Mark Hamilton"/>
        <s v="Nicole Hansen"/>
        <s v="Julie Prescott"/>
        <s v="Bradley Talbott"/>
        <s v="Liz Preis"/>
        <s v="Claudia Bergmann"/>
        <s v="Karen Seio"/>
        <s v="Shahid Collister"/>
        <s v="Ken Dana"/>
        <s v="Carol Darley"/>
        <s v="Jason Klamczynski"/>
        <s v="George Zrebassa"/>
        <s v="Pauline Webber"/>
        <s v="Christina VanderZanden"/>
        <s v="Heather Kirkland"/>
        <s v="Scott Cohen"/>
        <s v="Barry FranzÃ¶sisch"/>
        <s v="Karen Ferguson"/>
        <s v="Jesus Ocampo"/>
        <s v="Shirley Jackson"/>
        <s v="Sally Knutson"/>
        <s v="Damala Kotsonis"/>
        <s v="Jack Lebron"/>
        <s v="Michelle Moray"/>
        <s v="Charles Sheldon"/>
        <s v="Todd Boyes"/>
        <s v="Roland Schwarz"/>
        <s v="Rick Duston"/>
        <s v="Kimberly Carter"/>
        <s v="Michael Dominguez"/>
        <s v="Maris LaWare"/>
        <s v="Nick Radford"/>
        <s v="Dorris liebe"/>
        <s v="Zuschuss Donatelli"/>
        <s v="Beth Fritzler"/>
        <s v="Karen Bern"/>
        <s v="Elizabeth Moffitt"/>
        <s v="Cari Schnelling"/>
        <s v="Anna Gayman"/>
        <s v="Roland Fjeld"/>
        <s v="Jeremy Lonsdale"/>
        <s v="Dan Campbell"/>
        <s v="James Galang"/>
        <s v="Emily Ducich"/>
        <s v="Patrick Ryan"/>
        <s v="Patrick O'Brill"/>
        <s v="Dan Reichenbach"/>
        <s v="Shui Tom"/>
        <s v="Matthew Grinstein"/>
        <s v="Ann Chong"/>
        <s v="Jill Stevenson"/>
        <s v="Cassandra Brandow"/>
        <s v="Cindy Chapman"/>
        <s v="Shahid Shariari"/>
        <s v="Bart Folk"/>
        <s v="Dorothy Badders"/>
        <s v="Kean Thornton"/>
        <s v="Don Weiss"/>
        <s v="Darrin Sayre"/>
        <s v="Cari Sayre"/>
        <s v="Neola Schneider"/>
        <s v="Greg Guthrie"/>
        <s v="Nick Zandusky"/>
        <s v="Adam Hart"/>
        <s v="Jamie Kunitz"/>
        <s v="Thea Hudgings"/>
        <s v="Cindy Stewart"/>
        <s v="Nora Paige"/>
        <s v="Grant Thornton"/>
        <s v="Jill Fjeld"/>
        <s v="Pete Kriz"/>
        <s v="Michael Chen"/>
        <s v="Guy Armstrong"/>
        <s v="Maria Bertelson"/>
        <s v="Maria Etezadi"/>
        <s v="Jim Sink"/>
        <s v="Justin Deggeller"/>
        <s v="Barry Franz"/>
        <s v="Jason Gross"/>
        <s v="Rose O'Brian"/>
        <s v="Corey Catlett"/>
        <s v="Doug Bickford"/>
        <s v="Max Ludwig"/>
        <s v="Dianna Vittorini"/>
        <s v="Joy Smith"/>
        <s v="Alice McCarthy"/>
        <s v="Kunst Miller"/>
        <s v="Rob Beeghly"/>
        <s v="Suzanne McNair"/>
        <s v="Alan Schoenberger"/>
        <s v="Jeremy Pistek"/>
        <s v="Alyssa Tate"/>
        <s v="Chris Cortes"/>
        <s v="Dennis Kane"/>
        <s v="Khloe Miller"/>
        <s v="Logan Currie"/>
        <s v="Doug Jacobs"/>
        <s v="Beth Paige"/>
        <s v="Sandra Glassco"/>
        <s v="Michael Moore"/>
        <s v="Chuck Clark"/>
      </sharedItems>
    </cacheField>
    <cacheField name="Customer Segment" numFmtId="0">
      <sharedItems count="3">
        <s v="Corporate"/>
        <s v="Consumer"/>
        <s v="Home Office"/>
      </sharedItems>
    </cacheField>
    <cacheField name="Region" numFmtId="0">
      <sharedItems count="4">
        <s v="West"/>
        <s v="Central"/>
        <s v="South"/>
        <s v="East"/>
      </sharedItems>
    </cacheField>
    <cacheField name="State" numFmtId="0">
      <sharedItems/>
    </cacheField>
    <cacheField name="City" numFmtId="0">
      <sharedItems/>
    </cacheField>
    <cacheField name="Sales" numFmtId="0">
      <sharedItems containsSemiMixedTypes="0" containsString="0" containsNumber="1" minValue="0.44400000000000001" maxValue="2625.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hite, Patrick" refreshedDate="45503.483130787034" createdVersion="3" refreshedVersion="8" minRefreshableVersion="3" recordCount="459" xr:uid="{775AAAB6-910E-47ED-8671-1BF071EB946A}">
  <cacheSource type="worksheet">
    <worksheetSource ref="A4:G463" sheet="reprop_formulas"/>
  </cacheSource>
  <cacheFields count="7">
    <cacheField name="Order Date" numFmtId="14">
      <sharedItems containsSemiMixedTypes="0" containsNonDate="0" containsDate="1" containsString="0" minDate="2016-01-17T00:00:00" maxDate="2019-12-30T00:00:00"/>
    </cacheField>
    <cacheField name="Customer Name" numFmtId="0">
      <sharedItems/>
    </cacheField>
    <cacheField name="Customer Segment" numFmtId="0">
      <sharedItems/>
    </cacheField>
    <cacheField name="Region" numFmtId="0">
      <sharedItems count="4">
        <s v="West"/>
        <s v="Central"/>
        <s v="South"/>
        <s v="East"/>
      </sharedItems>
    </cacheField>
    <cacheField name="State" numFmtId="0">
      <sharedItems count="40">
        <s v="Oregon"/>
        <s v="Michigan"/>
        <s v="Washington"/>
        <s v="Texas"/>
        <s v="Kentucky"/>
        <s v="Minnesota"/>
        <s v="Mississippi"/>
        <s v="California"/>
        <s v="Georgia"/>
        <s v="Ohio"/>
        <s v="New York"/>
        <s v="New Hampshire"/>
        <s v="Massachusetts"/>
        <s v="Illinois"/>
        <s v="Oklahoma"/>
        <s v="Pennsylvania"/>
        <s v="Colorado"/>
        <s v="Delaware"/>
        <s v="North Carolina"/>
        <s v="Utah"/>
        <s v="Maine"/>
        <s v="Connecticut"/>
        <s v="Florida"/>
        <s v="New Jersey"/>
        <s v="Nebraska"/>
        <s v="Tennessee"/>
        <s v="Wisconsin"/>
        <s v="Indiana"/>
        <s v="Arizona"/>
        <s v="Maryland"/>
        <s v="Virginia"/>
        <s v="Nevada"/>
        <s v="Missouri"/>
        <s v="Alabama"/>
        <s v="Louisiana"/>
        <s v="Kansas"/>
        <s v="Vermont"/>
        <s v="South Dakota"/>
        <s v="Idaho"/>
        <s v="Rhode Island"/>
      </sharedItems>
    </cacheField>
    <cacheField name="City" numFmtId="0">
      <sharedItems count="180">
        <s v="Springfield"/>
        <s v="Westland"/>
        <s v="Seattle"/>
        <s v="Dallas"/>
        <s v="Houston"/>
        <s v="Richmond"/>
        <s v="Lakeville"/>
        <s v="Jackson"/>
        <s v="San Francisco"/>
        <s v="Athens"/>
        <s v="Los Angeles"/>
        <s v="San Gabriel"/>
        <s v="Columbus"/>
        <s v="Watertown"/>
        <s v="Dover"/>
        <s v="Lawrence"/>
        <s v="New York City"/>
        <s v="Chicago"/>
        <s v="Detroit"/>
        <s v="Lawton"/>
        <s v="Philadelphia"/>
        <s v="Aurora"/>
        <s v="Newark"/>
        <s v="San Antonio"/>
        <s v="Charlotte"/>
        <s v="Denver"/>
        <s v="Pleasant Grove"/>
        <s v="Bangor"/>
        <s v="Meriden"/>
        <s v="San Diego"/>
        <s v="Trenton"/>
        <s v="Miami"/>
        <s v="Hollywood"/>
        <s v="Long Beach"/>
        <s v="Clifton"/>
        <s v="Cary"/>
        <s v="Tampa"/>
        <s v="Omaha"/>
        <s v="Lancaster"/>
        <s v="Clarksville"/>
        <s v="Fairfield"/>
        <s v="Edmonds"/>
        <s v="Fort Worth"/>
        <s v="Orange"/>
        <s v="Wausau"/>
        <s v="Johnson City"/>
        <s v="Mesquite"/>
        <s v="Brentwood"/>
        <s v="Fresno"/>
        <s v="Columbia"/>
        <s v="Grand Prairie"/>
        <s v="Moreno Valley"/>
        <s v="Beverly"/>
        <s v="Kent"/>
        <s v="Henderson"/>
        <s v="New Castle"/>
        <s v="Jacksonville"/>
        <s v="Coral Springs"/>
        <s v="Lansing"/>
        <s v="Norwich"/>
        <s v="Toledo"/>
        <s v="Carrollton"/>
        <s v="Milwaukee"/>
        <s v="Midland"/>
        <s v="Frankfort"/>
        <s v="Phoenix"/>
        <s v="Pueblo"/>
        <s v="Baltimore"/>
        <s v="Redmond"/>
        <s v="Bolingbrook"/>
        <s v="Atlanta"/>
        <s v="Bristol"/>
        <s v="Revere"/>
        <s v="Paterson"/>
        <s v="Mesa"/>
        <s v="Ann Arbor"/>
        <s v="Mcallen"/>
        <s v="Virginia Beach"/>
        <s v="Chesapeake"/>
        <s v="Hampton"/>
        <s v="Roseville"/>
        <s v="Las Vegas"/>
        <s v="Morristown"/>
        <s v="Dearborn"/>
        <s v="Durham"/>
        <s v="Riverside"/>
        <s v="Arlington"/>
        <s v="Colorado Springs"/>
        <s v="Clinton"/>
        <s v="Fayetteville"/>
        <s v="Scottsdale"/>
        <s v="Waynesboro"/>
        <s v="Sierra Vista"/>
        <s v="Austin"/>
        <s v="Mission Viejo"/>
        <s v="Passaic"/>
        <s v="Hamilton"/>
        <s v="Superior"/>
        <s v="Santa Clara"/>
        <s v="Decatur"/>
        <s v="Pasadena"/>
        <s v="Perth Amboy"/>
        <s v="Bethlehem"/>
        <s v="Kenner"/>
        <s v="Irving"/>
        <s v="Knoxville"/>
        <s v="Saint Paul"/>
        <s v="San Jose"/>
        <s v="Cleveland"/>
        <s v="Covington"/>
        <s v="Oklahoma City"/>
        <s v="Bridgeton"/>
        <s v="Apopka"/>
        <s v="La Porte"/>
        <s v="Parma"/>
        <s v="Indianapolis"/>
        <s v="Hialeah"/>
        <s v="Lincoln Park"/>
        <s v="San Angelo"/>
        <s v="Franklin"/>
        <s v="Fremont"/>
        <s v="Anaheim"/>
        <s v="Goldsboro"/>
        <s v="Tamarac"/>
        <s v="Vineland"/>
        <s v="Wichita"/>
        <s v="Huntsville"/>
        <s v="El Paso"/>
        <s v="Burlington"/>
        <s v="Rochester"/>
        <s v="Torrance"/>
        <s v="Minneapolis"/>
        <s v="Roswell"/>
        <s v="Muskogee"/>
        <s v="Santa Barbara"/>
        <s v="Murray"/>
        <s v="Southaven"/>
        <s v="Raleigh"/>
        <s v="Tyler"/>
        <s v="Pompano Beach"/>
        <s v="Plainfield"/>
        <s v="Wilmington"/>
        <s v="Rancho Cucamonga"/>
        <s v="Sandy Springs"/>
        <s v="Mount Vernon"/>
        <s v="Louisville"/>
        <s v="Laurel"/>
        <s v="Pembroke Pines"/>
        <s v="Nashville"/>
        <s v="Florence"/>
        <s v="Suffolk"/>
        <s v="Sioux Falls"/>
        <s v="Westminster"/>
        <s v="Lake Forest"/>
        <s v="Memphis"/>
        <s v="Oakland"/>
        <s v="Tallahassee"/>
        <s v="Inglewood"/>
        <s v="Port Saint Lucie"/>
        <s v="Portland"/>
        <s v="Georgetown"/>
        <s v="Bakersfield"/>
        <s v="Chico"/>
        <s v="Meridian"/>
        <s v="Lakewood"/>
        <s v="Cranston"/>
        <s v="Saint Louis"/>
        <s v="Pasco"/>
        <s v="Fort Lauderdale"/>
        <s v="Longview"/>
        <s v="Salem"/>
        <s v="Miramar"/>
        <s v="Odessa"/>
        <s v="Asheville"/>
        <s v="Lowell"/>
        <s v="Hattiesburg"/>
        <s v="Madison"/>
        <s v="Abilene"/>
        <s v="Independence"/>
        <s v="College Station"/>
      </sharedItems>
    </cacheField>
    <cacheField name="Sales" numFmtId="0">
      <sharedItems containsSemiMixedTypes="0" containsString="0" containsNumber="1" minValue="0.44400000000000001" maxValue="2625.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">
  <r>
    <d v="2016-01-17T00:00:00"/>
    <x v="0"/>
    <x v="0"/>
    <x v="0"/>
    <s v="Oregon"/>
    <s v="Springfield"/>
    <n v="64.864000000000004"/>
  </r>
  <r>
    <d v="2016-01-19T00:00:00"/>
    <x v="1"/>
    <x v="1"/>
    <x v="1"/>
    <s v="Michigan"/>
    <s v="Westland"/>
    <n v="247.71600000000001"/>
  </r>
  <r>
    <d v="2016-02-13T00:00:00"/>
    <x v="2"/>
    <x v="0"/>
    <x v="0"/>
    <s v="Washington"/>
    <s v="Seattle"/>
    <n v="81.96"/>
  </r>
  <r>
    <d v="2016-02-15T00:00:00"/>
    <x v="3"/>
    <x v="1"/>
    <x v="1"/>
    <s v="Texas"/>
    <s v="Dallas"/>
    <n v="7.96"/>
  </r>
  <r>
    <d v="2016-03-01T00:00:00"/>
    <x v="4"/>
    <x v="1"/>
    <x v="1"/>
    <s v="Texas"/>
    <s v="Houston"/>
    <n v="176.77199999999999"/>
  </r>
  <r>
    <d v="2016-03-09T00:00:00"/>
    <x v="5"/>
    <x v="0"/>
    <x v="2"/>
    <s v="Kentucky"/>
    <s v="Richmond"/>
    <n v="146.76"/>
  </r>
  <r>
    <d v="2016-03-15T00:00:00"/>
    <x v="6"/>
    <x v="1"/>
    <x v="1"/>
    <s v="Minnesota"/>
    <s v="Lakeville"/>
    <n v="93.78"/>
  </r>
  <r>
    <d v="2016-03-15T00:00:00"/>
    <x v="7"/>
    <x v="0"/>
    <x v="2"/>
    <s v="Mississippi"/>
    <s v="Jackson"/>
    <n v="32.67"/>
  </r>
  <r>
    <d v="2016-03-29T00:00:00"/>
    <x v="8"/>
    <x v="1"/>
    <x v="0"/>
    <s v="California"/>
    <s v="San Francisco"/>
    <n v="52.98"/>
  </r>
  <r>
    <d v="2016-03-31T00:00:00"/>
    <x v="9"/>
    <x v="1"/>
    <x v="2"/>
    <s v="Georgia"/>
    <s v="Athens"/>
    <n v="154.9"/>
  </r>
  <r>
    <d v="2016-04-13T00:00:00"/>
    <x v="10"/>
    <x v="2"/>
    <x v="0"/>
    <s v="California"/>
    <s v="Los Angeles"/>
    <n v="106.96"/>
  </r>
  <r>
    <d v="2016-04-23T00:00:00"/>
    <x v="11"/>
    <x v="2"/>
    <x v="0"/>
    <s v="California"/>
    <s v="San Gabriel"/>
    <n v="270.72000000000003"/>
  </r>
  <r>
    <d v="2016-04-30T00:00:00"/>
    <x v="12"/>
    <x v="1"/>
    <x v="3"/>
    <s v="Ohio"/>
    <s v="Columbus"/>
    <n v="26.135999999999999"/>
  </r>
  <r>
    <d v="2016-05-02T00:00:00"/>
    <x v="13"/>
    <x v="0"/>
    <x v="0"/>
    <s v="Washington"/>
    <s v="Seattle"/>
    <n v="57.68"/>
  </r>
  <r>
    <d v="2016-05-09T00:00:00"/>
    <x v="14"/>
    <x v="0"/>
    <x v="3"/>
    <s v="New York"/>
    <s v="Watertown"/>
    <n v="35.909999999999997"/>
  </r>
  <r>
    <d v="2016-05-18T00:00:00"/>
    <x v="15"/>
    <x v="0"/>
    <x v="3"/>
    <s v="New Hampshire"/>
    <s v="Dover"/>
    <n v="33.28"/>
  </r>
  <r>
    <d v="2016-05-19T00:00:00"/>
    <x v="16"/>
    <x v="2"/>
    <x v="3"/>
    <s v="Massachusetts"/>
    <s v="Lawrence"/>
    <n v="245.88"/>
  </r>
  <r>
    <d v="2016-05-21T00:00:00"/>
    <x v="17"/>
    <x v="1"/>
    <x v="3"/>
    <s v="New York"/>
    <s v="New York City"/>
    <n v="208.16"/>
  </r>
  <r>
    <d v="2016-05-23T00:00:00"/>
    <x v="18"/>
    <x v="1"/>
    <x v="1"/>
    <s v="Illinois"/>
    <s v="Chicago"/>
    <n v="75.599999999999994"/>
  </r>
  <r>
    <d v="2016-05-28T00:00:00"/>
    <x v="19"/>
    <x v="0"/>
    <x v="3"/>
    <s v="New York"/>
    <s v="New York City"/>
    <n v="235.95"/>
  </r>
  <r>
    <d v="2016-05-30T00:00:00"/>
    <x v="20"/>
    <x v="2"/>
    <x v="1"/>
    <s v="Minnesota"/>
    <s v="Lakeville"/>
    <n v="1503.25"/>
  </r>
  <r>
    <d v="2016-05-30T00:00:00"/>
    <x v="21"/>
    <x v="0"/>
    <x v="1"/>
    <s v="Michigan"/>
    <s v="Detroit"/>
    <n v="65.52"/>
  </r>
  <r>
    <d v="2016-06-02T00:00:00"/>
    <x v="22"/>
    <x v="1"/>
    <x v="3"/>
    <s v="New York"/>
    <s v="New York City"/>
    <n v="15.56"/>
  </r>
  <r>
    <d v="2016-06-07T00:00:00"/>
    <x v="23"/>
    <x v="1"/>
    <x v="0"/>
    <s v="California"/>
    <s v="Los Angeles"/>
    <n v="114.9"/>
  </r>
  <r>
    <d v="2016-06-18T00:00:00"/>
    <x v="24"/>
    <x v="1"/>
    <x v="1"/>
    <s v="Oklahoma"/>
    <s v="Lawton"/>
    <n v="471.9"/>
  </r>
  <r>
    <d v="2016-06-19T00:00:00"/>
    <x v="25"/>
    <x v="1"/>
    <x v="3"/>
    <s v="Pennsylvania"/>
    <s v="Philadelphia"/>
    <n v="44.415999999999997"/>
  </r>
  <r>
    <d v="2016-06-19T00:00:00"/>
    <x v="26"/>
    <x v="1"/>
    <x v="3"/>
    <s v="New York"/>
    <s v="New York City"/>
    <n v="59.7"/>
  </r>
  <r>
    <d v="2016-07-02T00:00:00"/>
    <x v="27"/>
    <x v="0"/>
    <x v="0"/>
    <s v="Colorado"/>
    <s v="Aurora"/>
    <n v="32.432000000000002"/>
  </r>
  <r>
    <d v="2016-07-12T00:00:00"/>
    <x v="28"/>
    <x v="2"/>
    <x v="3"/>
    <s v="Delaware"/>
    <s v="Newark"/>
    <n v="39.479999999999997"/>
  </r>
  <r>
    <d v="2016-07-19T00:00:00"/>
    <x v="29"/>
    <x v="0"/>
    <x v="1"/>
    <s v="Texas"/>
    <s v="Dallas"/>
    <n v="4.992"/>
  </r>
  <r>
    <d v="2016-07-24T00:00:00"/>
    <x v="30"/>
    <x v="1"/>
    <x v="1"/>
    <s v="Texas"/>
    <s v="San Antonio"/>
    <n v="4.8360000000000003"/>
  </r>
  <r>
    <d v="2016-07-30T00:00:00"/>
    <x v="31"/>
    <x v="0"/>
    <x v="2"/>
    <s v="North Carolina"/>
    <s v="Charlotte"/>
    <n v="62.92"/>
  </r>
  <r>
    <d v="2016-08-01T00:00:00"/>
    <x v="32"/>
    <x v="1"/>
    <x v="0"/>
    <s v="Colorado"/>
    <s v="Denver"/>
    <n v="2.6"/>
  </r>
  <r>
    <d v="2016-08-02T00:00:00"/>
    <x v="33"/>
    <x v="1"/>
    <x v="0"/>
    <s v="Utah"/>
    <s v="Pleasant Grove"/>
    <n v="1089.75"/>
  </r>
  <r>
    <d v="2016-08-02T00:00:00"/>
    <x v="2"/>
    <x v="0"/>
    <x v="3"/>
    <s v="Maine"/>
    <s v="Bangor"/>
    <n v="101.96"/>
  </r>
  <r>
    <d v="2016-08-03T00:00:00"/>
    <x v="34"/>
    <x v="0"/>
    <x v="3"/>
    <s v="Connecticut"/>
    <s v="Meriden"/>
    <n v="79.47"/>
  </r>
  <r>
    <d v="2016-08-06T00:00:00"/>
    <x v="35"/>
    <x v="1"/>
    <x v="0"/>
    <s v="California"/>
    <s v="San Diego"/>
    <n v="76.12"/>
  </r>
  <r>
    <d v="2016-08-06T00:00:00"/>
    <x v="36"/>
    <x v="2"/>
    <x v="1"/>
    <s v="Michigan"/>
    <s v="Trenton"/>
    <n v="167.535"/>
  </r>
  <r>
    <d v="2016-08-10T00:00:00"/>
    <x v="37"/>
    <x v="2"/>
    <x v="2"/>
    <s v="Florida"/>
    <s v="Miami"/>
    <n v="211.24799999999999"/>
  </r>
  <r>
    <d v="2016-08-13T00:00:00"/>
    <x v="38"/>
    <x v="1"/>
    <x v="2"/>
    <s v="Florida"/>
    <s v="Hollywood"/>
    <n v="152.24"/>
  </r>
  <r>
    <d v="2016-08-31T00:00:00"/>
    <x v="39"/>
    <x v="1"/>
    <x v="3"/>
    <s v="New York"/>
    <s v="Watertown"/>
    <n v="19.899999999999999"/>
  </r>
  <r>
    <d v="2016-09-06T00:00:00"/>
    <x v="40"/>
    <x v="1"/>
    <x v="1"/>
    <s v="Texas"/>
    <s v="San Antonio"/>
    <n v="177.98"/>
  </r>
  <r>
    <d v="2016-09-06T00:00:00"/>
    <x v="41"/>
    <x v="2"/>
    <x v="0"/>
    <s v="California"/>
    <s v="San Francisco"/>
    <n v="56.65"/>
  </r>
  <r>
    <d v="2016-09-06T00:00:00"/>
    <x v="42"/>
    <x v="0"/>
    <x v="3"/>
    <s v="New York"/>
    <s v="Long Beach"/>
    <n v="16.78"/>
  </r>
  <r>
    <d v="2016-09-08T00:00:00"/>
    <x v="43"/>
    <x v="1"/>
    <x v="3"/>
    <s v="New Jersey"/>
    <s v="Clifton"/>
    <n v="81.92"/>
  </r>
  <r>
    <d v="2016-09-10T00:00:00"/>
    <x v="44"/>
    <x v="0"/>
    <x v="2"/>
    <s v="North Carolina"/>
    <s v="Cary"/>
    <n v="166.84"/>
  </r>
  <r>
    <d v="2016-09-11T00:00:00"/>
    <x v="45"/>
    <x v="1"/>
    <x v="0"/>
    <s v="Washington"/>
    <s v="Seattle"/>
    <n v="22.66"/>
  </r>
  <r>
    <d v="2016-09-12T00:00:00"/>
    <x v="46"/>
    <x v="0"/>
    <x v="1"/>
    <s v="Illinois"/>
    <s v="Chicago"/>
    <n v="52.448"/>
  </r>
  <r>
    <d v="2016-09-12T00:00:00"/>
    <x v="47"/>
    <x v="1"/>
    <x v="2"/>
    <s v="Florida"/>
    <s v="Tampa"/>
    <n v="13"/>
  </r>
  <r>
    <d v="2016-09-12T00:00:00"/>
    <x v="48"/>
    <x v="1"/>
    <x v="3"/>
    <s v="New York"/>
    <s v="New York City"/>
    <n v="601.29999999999995"/>
  </r>
  <r>
    <d v="2016-09-18T00:00:00"/>
    <x v="49"/>
    <x v="2"/>
    <x v="0"/>
    <s v="California"/>
    <s v="Los Angeles"/>
    <n v="43.92"/>
  </r>
  <r>
    <d v="2016-09-18T00:00:00"/>
    <x v="50"/>
    <x v="1"/>
    <x v="3"/>
    <s v="New York"/>
    <s v="New York City"/>
    <n v="30.98"/>
  </r>
  <r>
    <d v="2016-09-19T00:00:00"/>
    <x v="51"/>
    <x v="0"/>
    <x v="1"/>
    <s v="Nebraska"/>
    <s v="Omaha"/>
    <n v="25.96"/>
  </r>
  <r>
    <d v="2016-09-19T00:00:00"/>
    <x v="51"/>
    <x v="0"/>
    <x v="1"/>
    <s v="Nebraska"/>
    <s v="Omaha"/>
    <n v="36.270000000000003"/>
  </r>
  <r>
    <d v="2016-09-24T00:00:00"/>
    <x v="52"/>
    <x v="0"/>
    <x v="3"/>
    <s v="Pennsylvania"/>
    <s v="Philadelphia"/>
    <n v="143.952"/>
  </r>
  <r>
    <d v="2016-09-24T00:00:00"/>
    <x v="53"/>
    <x v="0"/>
    <x v="3"/>
    <s v="Pennsylvania"/>
    <s v="Philadelphia"/>
    <n v="41.375999999999998"/>
  </r>
  <r>
    <d v="2016-09-24T00:00:00"/>
    <x v="54"/>
    <x v="2"/>
    <x v="3"/>
    <s v="Ohio"/>
    <s v="Lancaster"/>
    <n v="16.704000000000001"/>
  </r>
  <r>
    <d v="2016-09-28T00:00:00"/>
    <x v="55"/>
    <x v="1"/>
    <x v="2"/>
    <s v="Tennessee"/>
    <s v="Clarksville"/>
    <n v="69.215999999999994"/>
  </r>
  <r>
    <d v="2016-09-28T00:00:00"/>
    <x v="56"/>
    <x v="0"/>
    <x v="3"/>
    <s v="Ohio"/>
    <s v="Fairfield"/>
    <n v="795.40800000000002"/>
  </r>
  <r>
    <d v="2016-10-03T00:00:00"/>
    <x v="57"/>
    <x v="1"/>
    <x v="3"/>
    <s v="Ohio"/>
    <s v="Columbus"/>
    <n v="91.92"/>
  </r>
  <r>
    <d v="2016-10-11T00:00:00"/>
    <x v="58"/>
    <x v="1"/>
    <x v="0"/>
    <s v="Washington"/>
    <s v="Edmonds"/>
    <n v="213.92"/>
  </r>
  <r>
    <d v="2016-10-12T00:00:00"/>
    <x v="59"/>
    <x v="1"/>
    <x v="1"/>
    <s v="Texas"/>
    <s v="Fort Worth"/>
    <n v="3.16"/>
  </r>
  <r>
    <d v="2016-10-19T00:00:00"/>
    <x v="60"/>
    <x v="1"/>
    <x v="3"/>
    <s v="Ohio"/>
    <s v="Fairfield"/>
    <n v="121.792"/>
  </r>
  <r>
    <d v="2016-10-30T00:00:00"/>
    <x v="61"/>
    <x v="1"/>
    <x v="3"/>
    <s v="New York"/>
    <s v="Long Beach"/>
    <n v="533.94000000000005"/>
  </r>
  <r>
    <d v="2016-10-30T00:00:00"/>
    <x v="62"/>
    <x v="0"/>
    <x v="3"/>
    <s v="New Jersey"/>
    <s v="Orange"/>
    <n v="76.12"/>
  </r>
  <r>
    <d v="2016-11-02T00:00:00"/>
    <x v="63"/>
    <x v="0"/>
    <x v="2"/>
    <s v="North Carolina"/>
    <s v="Cary"/>
    <n v="58.24"/>
  </r>
  <r>
    <d v="2016-11-05T00:00:00"/>
    <x v="64"/>
    <x v="1"/>
    <x v="1"/>
    <s v="Wisconsin"/>
    <s v="Wausau"/>
    <n v="245.88"/>
  </r>
  <r>
    <d v="2016-11-09T00:00:00"/>
    <x v="36"/>
    <x v="2"/>
    <x v="0"/>
    <s v="California"/>
    <s v="Los Angeles"/>
    <n v="7.78"/>
  </r>
  <r>
    <d v="2016-11-09T00:00:00"/>
    <x v="65"/>
    <x v="0"/>
    <x v="0"/>
    <s v="Washington"/>
    <s v="Seattle"/>
    <n v="22.98"/>
  </r>
  <r>
    <d v="2016-11-13T00:00:00"/>
    <x v="66"/>
    <x v="1"/>
    <x v="2"/>
    <s v="Tennessee"/>
    <s v="Johnson City"/>
    <n v="333.05599999999998"/>
  </r>
  <r>
    <d v="2016-11-15T00:00:00"/>
    <x v="67"/>
    <x v="0"/>
    <x v="0"/>
    <s v="California"/>
    <s v="San Francisco"/>
    <n v="241.44"/>
  </r>
  <r>
    <d v="2016-11-20T00:00:00"/>
    <x v="68"/>
    <x v="0"/>
    <x v="2"/>
    <s v="Georgia"/>
    <s v="Columbus"/>
    <n v="675.12"/>
  </r>
  <r>
    <d v="2016-11-21T00:00:00"/>
    <x v="69"/>
    <x v="0"/>
    <x v="1"/>
    <s v="Texas"/>
    <s v="Mesquite"/>
    <n v="34.176000000000002"/>
  </r>
  <r>
    <d v="2016-11-23T00:00:00"/>
    <x v="19"/>
    <x v="0"/>
    <x v="0"/>
    <s v="California"/>
    <s v="Brentwood"/>
    <n v="320.88"/>
  </r>
  <r>
    <d v="2016-11-24T00:00:00"/>
    <x v="70"/>
    <x v="0"/>
    <x v="0"/>
    <s v="California"/>
    <s v="Fresno"/>
    <n v="40.54"/>
  </r>
  <r>
    <d v="2016-11-26T00:00:00"/>
    <x v="71"/>
    <x v="1"/>
    <x v="0"/>
    <s v="California"/>
    <s v="San Francisco"/>
    <n v="43.68"/>
  </r>
  <r>
    <d v="2016-11-30T00:00:00"/>
    <x v="72"/>
    <x v="1"/>
    <x v="1"/>
    <s v="Illinois"/>
    <s v="Chicago"/>
    <n v="2.3940000000000001"/>
  </r>
  <r>
    <d v="2016-12-03T00:00:00"/>
    <x v="73"/>
    <x v="1"/>
    <x v="0"/>
    <s v="California"/>
    <s v="Los Angeles"/>
    <n v="250.26"/>
  </r>
  <r>
    <d v="2016-12-04T00:00:00"/>
    <x v="74"/>
    <x v="1"/>
    <x v="1"/>
    <s v="Illinois"/>
    <s v="Chicago"/>
    <n v="14.016"/>
  </r>
  <r>
    <d v="2016-12-07T00:00:00"/>
    <x v="67"/>
    <x v="0"/>
    <x v="1"/>
    <s v="Illinois"/>
    <s v="Chicago"/>
    <n v="20.388000000000002"/>
  </r>
  <r>
    <d v="2016-12-18T00:00:00"/>
    <x v="75"/>
    <x v="1"/>
    <x v="2"/>
    <s v="Tennessee"/>
    <s v="Columbia"/>
    <n v="43.512"/>
  </r>
  <r>
    <d v="2016-12-18T00:00:00"/>
    <x v="76"/>
    <x v="1"/>
    <x v="1"/>
    <s v="Texas"/>
    <s v="Grand Prairie"/>
    <n v="19.431999999999999"/>
  </r>
  <r>
    <d v="2016-12-21T00:00:00"/>
    <x v="77"/>
    <x v="1"/>
    <x v="1"/>
    <s v="Indiana"/>
    <s v="Richmond"/>
    <n v="207.24"/>
  </r>
  <r>
    <d v="2016-12-21T00:00:00"/>
    <x v="78"/>
    <x v="0"/>
    <x v="3"/>
    <s v="New York"/>
    <s v="New York City"/>
    <n v="56.52"/>
  </r>
  <r>
    <d v="2016-12-22T00:00:00"/>
    <x v="79"/>
    <x v="2"/>
    <x v="0"/>
    <s v="California"/>
    <s v="Los Angeles"/>
    <n v="361.96"/>
  </r>
  <r>
    <d v="2016-12-22T00:00:00"/>
    <x v="80"/>
    <x v="1"/>
    <x v="0"/>
    <s v="California"/>
    <s v="San Diego"/>
    <n v="13.97"/>
  </r>
  <r>
    <d v="2016-12-24T00:00:00"/>
    <x v="81"/>
    <x v="1"/>
    <x v="3"/>
    <s v="Pennsylvania"/>
    <s v="Philadelphia"/>
    <n v="34.655999999999999"/>
  </r>
  <r>
    <d v="2016-12-24T00:00:00"/>
    <x v="81"/>
    <x v="1"/>
    <x v="3"/>
    <s v="Pennsylvania"/>
    <s v="Philadelphia"/>
    <n v="81.552000000000007"/>
  </r>
  <r>
    <d v="2016-12-25T00:00:00"/>
    <x v="82"/>
    <x v="2"/>
    <x v="0"/>
    <s v="California"/>
    <s v="Moreno Valley"/>
    <n v="10.98"/>
  </r>
  <r>
    <d v="2016-12-26T00:00:00"/>
    <x v="83"/>
    <x v="0"/>
    <x v="3"/>
    <s v="Massachusetts"/>
    <s v="Beverly"/>
    <n v="1737.18"/>
  </r>
  <r>
    <d v="2016-12-27T00:00:00"/>
    <x v="84"/>
    <x v="1"/>
    <x v="3"/>
    <s v="Ohio"/>
    <s v="Kent"/>
    <n v="48.36"/>
  </r>
  <r>
    <d v="2016-12-28T00:00:00"/>
    <x v="85"/>
    <x v="1"/>
    <x v="3"/>
    <s v="New York"/>
    <s v="New York City"/>
    <n v="122.94"/>
  </r>
  <r>
    <d v="2017-01-03T00:00:00"/>
    <x v="86"/>
    <x v="2"/>
    <x v="0"/>
    <s v="California"/>
    <s v="San Francisco"/>
    <n v="87.36"/>
  </r>
  <r>
    <d v="2017-01-07T00:00:00"/>
    <x v="87"/>
    <x v="1"/>
    <x v="2"/>
    <s v="Kentucky"/>
    <s v="Henderson"/>
    <n v="163.44"/>
  </r>
  <r>
    <d v="2017-02-13T00:00:00"/>
    <x v="39"/>
    <x v="1"/>
    <x v="0"/>
    <s v="California"/>
    <s v="Los Angeles"/>
    <n v="541.44000000000005"/>
  </r>
  <r>
    <d v="2017-02-21T00:00:00"/>
    <x v="88"/>
    <x v="2"/>
    <x v="3"/>
    <s v="New York"/>
    <s v="New York City"/>
    <n v="26.88"/>
  </r>
  <r>
    <d v="2017-02-28T00:00:00"/>
    <x v="45"/>
    <x v="1"/>
    <x v="3"/>
    <s v="Pennsylvania"/>
    <s v="Philadelphia"/>
    <n v="3.552"/>
  </r>
  <r>
    <d v="2017-03-04T00:00:00"/>
    <x v="77"/>
    <x v="1"/>
    <x v="1"/>
    <s v="Indiana"/>
    <s v="New Castle"/>
    <n v="60.69"/>
  </r>
  <r>
    <d v="2017-03-04T00:00:00"/>
    <x v="64"/>
    <x v="1"/>
    <x v="1"/>
    <s v="Illinois"/>
    <s v="Chicago"/>
    <n v="180.98"/>
  </r>
  <r>
    <d v="2017-03-20T00:00:00"/>
    <x v="89"/>
    <x v="1"/>
    <x v="2"/>
    <s v="North Carolina"/>
    <s v="Jacksonville"/>
    <n v="962.08"/>
  </r>
  <r>
    <d v="2017-03-23T00:00:00"/>
    <x v="90"/>
    <x v="0"/>
    <x v="2"/>
    <s v="Florida"/>
    <s v="Coral Springs"/>
    <n v="6.992"/>
  </r>
  <r>
    <d v="2017-03-28T00:00:00"/>
    <x v="91"/>
    <x v="1"/>
    <x v="0"/>
    <s v="Washington"/>
    <s v="Seattle"/>
    <n v="73.28"/>
  </r>
  <r>
    <d v="2017-04-01T00:00:00"/>
    <x v="92"/>
    <x v="1"/>
    <x v="1"/>
    <s v="Texas"/>
    <s v="Dallas"/>
    <n v="32.192"/>
  </r>
  <r>
    <d v="2017-04-03T00:00:00"/>
    <x v="93"/>
    <x v="1"/>
    <x v="1"/>
    <s v="Michigan"/>
    <s v="Lansing"/>
    <n v="644.07600000000002"/>
  </r>
  <r>
    <d v="2017-04-04T00:00:00"/>
    <x v="94"/>
    <x v="2"/>
    <x v="3"/>
    <s v="Pennsylvania"/>
    <s v="Philadelphia"/>
    <n v="98.111999999999995"/>
  </r>
  <r>
    <d v="2017-04-06T00:00:00"/>
    <x v="95"/>
    <x v="1"/>
    <x v="1"/>
    <s v="Texas"/>
    <s v="San Antonio"/>
    <n v="463.24799999999999"/>
  </r>
  <r>
    <d v="2017-04-08T00:00:00"/>
    <x v="96"/>
    <x v="1"/>
    <x v="3"/>
    <s v="Connecticut"/>
    <s v="Norwich"/>
    <n v="370.14"/>
  </r>
  <r>
    <d v="2017-04-10T00:00:00"/>
    <x v="97"/>
    <x v="1"/>
    <x v="3"/>
    <s v="New York"/>
    <s v="New York City"/>
    <n v="406.6"/>
  </r>
  <r>
    <d v="2017-04-12T00:00:00"/>
    <x v="98"/>
    <x v="0"/>
    <x v="0"/>
    <s v="California"/>
    <s v="Los Angeles"/>
    <n v="75.84"/>
  </r>
  <r>
    <d v="2017-04-13T00:00:00"/>
    <x v="99"/>
    <x v="1"/>
    <x v="0"/>
    <s v="Oregon"/>
    <s v="Springfield"/>
    <n v="35.207999999999998"/>
  </r>
  <r>
    <d v="2017-04-15T00:00:00"/>
    <x v="100"/>
    <x v="0"/>
    <x v="3"/>
    <s v="Ohio"/>
    <s v="Toledo"/>
    <n v="45.216000000000001"/>
  </r>
  <r>
    <d v="2017-04-16T00:00:00"/>
    <x v="101"/>
    <x v="1"/>
    <x v="0"/>
    <s v="California"/>
    <s v="San Francisco"/>
    <n v="1447.65"/>
  </r>
  <r>
    <d v="2017-04-18T00:00:00"/>
    <x v="102"/>
    <x v="1"/>
    <x v="1"/>
    <s v="Texas"/>
    <s v="Carrollton"/>
    <n v="19.568000000000001"/>
  </r>
  <r>
    <d v="2017-04-24T00:00:00"/>
    <x v="103"/>
    <x v="1"/>
    <x v="3"/>
    <s v="New York"/>
    <s v="New York City"/>
    <n v="206.43"/>
  </r>
  <r>
    <d v="2017-04-24T00:00:00"/>
    <x v="104"/>
    <x v="1"/>
    <x v="1"/>
    <s v="Wisconsin"/>
    <s v="Milwaukee"/>
    <n v="272.39999999999998"/>
  </r>
  <r>
    <d v="2017-04-26T00:00:00"/>
    <x v="105"/>
    <x v="2"/>
    <x v="0"/>
    <s v="Colorado"/>
    <s v="Aurora"/>
    <n v="43.56"/>
  </r>
  <r>
    <d v="2017-04-27T00:00:00"/>
    <x v="106"/>
    <x v="1"/>
    <x v="1"/>
    <s v="Texas"/>
    <s v="Houston"/>
    <n v="8.6519999999999992"/>
  </r>
  <r>
    <d v="2017-04-27T00:00:00"/>
    <x v="107"/>
    <x v="2"/>
    <x v="1"/>
    <s v="Michigan"/>
    <s v="Midland"/>
    <n v="186.732"/>
  </r>
  <r>
    <d v="2017-05-02T00:00:00"/>
    <x v="108"/>
    <x v="1"/>
    <x v="3"/>
    <s v="Pennsylvania"/>
    <s v="Philadelphia"/>
    <n v="23.696000000000002"/>
  </r>
  <r>
    <d v="2017-05-02T00:00:00"/>
    <x v="108"/>
    <x v="1"/>
    <x v="3"/>
    <s v="Pennsylvania"/>
    <s v="Philadelphia"/>
    <n v="18.2"/>
  </r>
  <r>
    <d v="2017-05-09T00:00:00"/>
    <x v="41"/>
    <x v="2"/>
    <x v="1"/>
    <s v="Illinois"/>
    <s v="Aurora"/>
    <n v="70.97"/>
  </r>
  <r>
    <d v="2017-05-20T00:00:00"/>
    <x v="109"/>
    <x v="1"/>
    <x v="1"/>
    <s v="Illinois"/>
    <s v="Frankfort"/>
    <n v="20.768000000000001"/>
  </r>
  <r>
    <d v="2017-05-22T00:00:00"/>
    <x v="110"/>
    <x v="1"/>
    <x v="0"/>
    <s v="Arizona"/>
    <s v="Phoenix"/>
    <n v="121.792"/>
  </r>
  <r>
    <d v="2017-05-22T00:00:00"/>
    <x v="111"/>
    <x v="2"/>
    <x v="1"/>
    <s v="Michigan"/>
    <s v="Detroit"/>
    <n v="850.5"/>
  </r>
  <r>
    <d v="2017-05-24T00:00:00"/>
    <x v="112"/>
    <x v="1"/>
    <x v="0"/>
    <s v="Colorado"/>
    <s v="Pueblo"/>
    <n v="845.72799999999995"/>
  </r>
  <r>
    <d v="2017-05-29T00:00:00"/>
    <x v="113"/>
    <x v="1"/>
    <x v="3"/>
    <s v="New York"/>
    <s v="New York City"/>
    <n v="160.32"/>
  </r>
  <r>
    <d v="2017-06-07T00:00:00"/>
    <x v="81"/>
    <x v="1"/>
    <x v="1"/>
    <s v="Illinois"/>
    <s v="Chicago"/>
    <n v="143.12799999999999"/>
  </r>
  <r>
    <d v="2017-07-01T00:00:00"/>
    <x v="114"/>
    <x v="1"/>
    <x v="1"/>
    <s v="Texas"/>
    <s v="Houston"/>
    <n v="32.783999999999999"/>
  </r>
  <r>
    <d v="2017-07-08T00:00:00"/>
    <x v="115"/>
    <x v="0"/>
    <x v="1"/>
    <s v="Texas"/>
    <s v="Dallas"/>
    <n v="48.631999999999998"/>
  </r>
  <r>
    <d v="2017-07-22T00:00:00"/>
    <x v="116"/>
    <x v="2"/>
    <x v="3"/>
    <s v="New York"/>
    <s v="New York City"/>
    <n v="68.94"/>
  </r>
  <r>
    <d v="2017-08-06T00:00:00"/>
    <x v="117"/>
    <x v="0"/>
    <x v="3"/>
    <s v="Maryland"/>
    <s v="Baltimore"/>
    <n v="77.58"/>
  </r>
  <r>
    <d v="2017-08-07T00:00:00"/>
    <x v="118"/>
    <x v="1"/>
    <x v="3"/>
    <s v="Massachusetts"/>
    <s v="Lawrence"/>
    <n v="113.92"/>
  </r>
  <r>
    <d v="2017-08-09T00:00:00"/>
    <x v="76"/>
    <x v="1"/>
    <x v="0"/>
    <s v="Oregon"/>
    <s v="Redmond"/>
    <n v="133.47200000000001"/>
  </r>
  <r>
    <d v="2017-08-22T00:00:00"/>
    <x v="119"/>
    <x v="1"/>
    <x v="1"/>
    <s v="Illinois"/>
    <s v="Bolingbrook"/>
    <n v="5.7679999999999998"/>
  </r>
  <r>
    <d v="2017-08-22T00:00:00"/>
    <x v="120"/>
    <x v="1"/>
    <x v="2"/>
    <s v="Georgia"/>
    <s v="Atlanta"/>
    <n v="542.94000000000005"/>
  </r>
  <r>
    <d v="2017-08-22T00:00:00"/>
    <x v="120"/>
    <x v="1"/>
    <x v="2"/>
    <s v="Georgia"/>
    <s v="Atlanta"/>
    <n v="25.86"/>
  </r>
  <r>
    <d v="2017-08-24T00:00:00"/>
    <x v="121"/>
    <x v="2"/>
    <x v="0"/>
    <s v="California"/>
    <s v="Los Angeles"/>
    <n v="105.96"/>
  </r>
  <r>
    <d v="2017-09-02T00:00:00"/>
    <x v="46"/>
    <x v="0"/>
    <x v="3"/>
    <s v="Connecticut"/>
    <s v="Bristol"/>
    <n v="137.62"/>
  </r>
  <r>
    <d v="2017-09-05T00:00:00"/>
    <x v="122"/>
    <x v="0"/>
    <x v="3"/>
    <s v="New York"/>
    <s v="New York City"/>
    <n v="8.39"/>
  </r>
  <r>
    <d v="2017-09-09T00:00:00"/>
    <x v="123"/>
    <x v="0"/>
    <x v="3"/>
    <s v="Massachusetts"/>
    <s v="Revere"/>
    <n v="61.96"/>
  </r>
  <r>
    <d v="2017-09-10T00:00:00"/>
    <x v="124"/>
    <x v="2"/>
    <x v="3"/>
    <s v="New Jersey"/>
    <s v="Paterson"/>
    <n v="111.04"/>
  </r>
  <r>
    <d v="2017-09-21T00:00:00"/>
    <x v="125"/>
    <x v="0"/>
    <x v="0"/>
    <s v="California"/>
    <s v="Los Angeles"/>
    <n v="61.44"/>
  </r>
  <r>
    <d v="2017-09-23T00:00:00"/>
    <x v="126"/>
    <x v="0"/>
    <x v="0"/>
    <s v="California"/>
    <s v="Los Angeles"/>
    <n v="1158.1199999999999"/>
  </r>
  <r>
    <d v="2017-09-25T00:00:00"/>
    <x v="127"/>
    <x v="0"/>
    <x v="0"/>
    <s v="Arizona"/>
    <s v="Mesa"/>
    <n v="60.671999999999997"/>
  </r>
  <r>
    <d v="2017-09-27T00:00:00"/>
    <x v="128"/>
    <x v="0"/>
    <x v="0"/>
    <s v="California"/>
    <s v="San Francisco"/>
    <n v="43.26"/>
  </r>
  <r>
    <d v="2017-09-27T00:00:00"/>
    <x v="128"/>
    <x v="0"/>
    <x v="0"/>
    <s v="California"/>
    <s v="San Francisco"/>
    <n v="43.56"/>
  </r>
  <r>
    <d v="2017-09-27T00:00:00"/>
    <x v="129"/>
    <x v="1"/>
    <x v="3"/>
    <s v="New York"/>
    <s v="New York City"/>
    <n v="293.52"/>
  </r>
  <r>
    <d v="2017-09-27T00:00:00"/>
    <x v="130"/>
    <x v="0"/>
    <x v="0"/>
    <s v="California"/>
    <s v="Los Angeles"/>
    <n v="186.15"/>
  </r>
  <r>
    <d v="2017-10-04T00:00:00"/>
    <x v="131"/>
    <x v="2"/>
    <x v="2"/>
    <s v="Virginia"/>
    <s v="Springfield"/>
    <n v="28.84"/>
  </r>
  <r>
    <d v="2017-10-08T00:00:00"/>
    <x v="51"/>
    <x v="0"/>
    <x v="1"/>
    <s v="Michigan"/>
    <s v="Ann Arbor"/>
    <n v="29.402999999999999"/>
  </r>
  <r>
    <d v="2017-10-08T00:00:00"/>
    <x v="132"/>
    <x v="1"/>
    <x v="1"/>
    <s v="Michigan"/>
    <s v="Detroit"/>
    <n v="269.91000000000003"/>
  </r>
  <r>
    <d v="2017-10-17T00:00:00"/>
    <x v="133"/>
    <x v="2"/>
    <x v="1"/>
    <s v="Texas"/>
    <s v="Mcallen"/>
    <n v="73.164000000000001"/>
  </r>
  <r>
    <d v="2017-10-18T00:00:00"/>
    <x v="134"/>
    <x v="2"/>
    <x v="0"/>
    <s v="California"/>
    <s v="Los Angeles"/>
    <n v="1640.7"/>
  </r>
  <r>
    <d v="2017-10-25T00:00:00"/>
    <x v="135"/>
    <x v="0"/>
    <x v="0"/>
    <s v="Oregon"/>
    <s v="Springfield"/>
    <n v="203.88"/>
  </r>
  <r>
    <d v="2017-10-29T00:00:00"/>
    <x v="136"/>
    <x v="1"/>
    <x v="2"/>
    <s v="Virginia"/>
    <s v="Virginia Beach"/>
    <n v="182.91"/>
  </r>
  <r>
    <d v="2017-11-01T00:00:00"/>
    <x v="137"/>
    <x v="1"/>
    <x v="2"/>
    <s v="Virginia"/>
    <s v="Chesapeake"/>
    <n v="197.72"/>
  </r>
  <r>
    <d v="2017-11-04T00:00:00"/>
    <x v="33"/>
    <x v="1"/>
    <x v="2"/>
    <s v="Florida"/>
    <s v="Coral Springs"/>
    <n v="387.13600000000002"/>
  </r>
  <r>
    <d v="2017-11-07T00:00:00"/>
    <x v="138"/>
    <x v="1"/>
    <x v="2"/>
    <s v="Virginia"/>
    <s v="Hampton"/>
    <n v="44.43"/>
  </r>
  <r>
    <d v="2017-11-09T00:00:00"/>
    <x v="139"/>
    <x v="2"/>
    <x v="1"/>
    <s v="Minnesota"/>
    <s v="Roseville"/>
    <n v="715.64"/>
  </r>
  <r>
    <d v="2017-11-10T00:00:00"/>
    <x v="140"/>
    <x v="0"/>
    <x v="1"/>
    <s v="Michigan"/>
    <s v="Detroit"/>
    <n v="123.858"/>
  </r>
  <r>
    <d v="2017-11-13T00:00:00"/>
    <x v="141"/>
    <x v="0"/>
    <x v="2"/>
    <s v="Virginia"/>
    <s v="Springfield"/>
    <n v="826.11"/>
  </r>
  <r>
    <d v="2017-11-15T00:00:00"/>
    <x v="139"/>
    <x v="2"/>
    <x v="3"/>
    <s v="New York"/>
    <s v="New York City"/>
    <n v="523.25"/>
  </r>
  <r>
    <d v="2017-11-18T00:00:00"/>
    <x v="142"/>
    <x v="0"/>
    <x v="0"/>
    <s v="Nevada"/>
    <s v="Las Vegas"/>
    <n v="31.08"/>
  </r>
  <r>
    <d v="2017-11-20T00:00:00"/>
    <x v="143"/>
    <x v="1"/>
    <x v="1"/>
    <s v="Indiana"/>
    <s v="Lawrence"/>
    <n v="19.75"/>
  </r>
  <r>
    <d v="2017-11-20T00:00:00"/>
    <x v="144"/>
    <x v="0"/>
    <x v="0"/>
    <s v="Arizona"/>
    <s v="Phoenix"/>
    <n v="325.63200000000001"/>
  </r>
  <r>
    <d v="2017-11-20T00:00:00"/>
    <x v="145"/>
    <x v="0"/>
    <x v="1"/>
    <s v="Texas"/>
    <s v="Fort Worth"/>
    <n v="24.588000000000001"/>
  </r>
  <r>
    <d v="2017-11-21T00:00:00"/>
    <x v="146"/>
    <x v="2"/>
    <x v="1"/>
    <s v="Texas"/>
    <s v="Fort Worth"/>
    <n v="68.81"/>
  </r>
  <r>
    <d v="2017-11-22T00:00:00"/>
    <x v="147"/>
    <x v="1"/>
    <x v="3"/>
    <s v="New Jersey"/>
    <s v="Morristown"/>
    <n v="2625.12"/>
  </r>
  <r>
    <d v="2017-11-27T00:00:00"/>
    <x v="148"/>
    <x v="1"/>
    <x v="0"/>
    <s v="California"/>
    <s v="San Francisco"/>
    <n v="45.28"/>
  </r>
  <r>
    <d v="2017-11-28T00:00:00"/>
    <x v="149"/>
    <x v="0"/>
    <x v="1"/>
    <s v="Michigan"/>
    <s v="Dearborn"/>
    <n v="555.21"/>
  </r>
  <r>
    <d v="2017-11-29T00:00:00"/>
    <x v="35"/>
    <x v="1"/>
    <x v="2"/>
    <s v="North Carolina"/>
    <s v="Durham"/>
    <n v="98.352000000000004"/>
  </r>
  <r>
    <d v="2017-12-05T00:00:00"/>
    <x v="150"/>
    <x v="1"/>
    <x v="0"/>
    <s v="California"/>
    <s v="San Francisco"/>
    <n v="7.78"/>
  </r>
  <r>
    <d v="2017-12-06T00:00:00"/>
    <x v="151"/>
    <x v="1"/>
    <x v="2"/>
    <s v="Kentucky"/>
    <s v="Henderson"/>
    <n v="152.94"/>
  </r>
  <r>
    <d v="2017-12-09T00:00:00"/>
    <x v="89"/>
    <x v="1"/>
    <x v="1"/>
    <s v="Illinois"/>
    <s v="Chicago"/>
    <n v="53.088000000000001"/>
  </r>
  <r>
    <d v="2017-12-12T00:00:00"/>
    <x v="152"/>
    <x v="0"/>
    <x v="0"/>
    <s v="California"/>
    <s v="Riverside"/>
    <n v="134.47999999999999"/>
  </r>
  <r>
    <d v="2017-12-14T00:00:00"/>
    <x v="153"/>
    <x v="1"/>
    <x v="0"/>
    <s v="Washington"/>
    <s v="Seattle"/>
    <n v="103.92"/>
  </r>
  <r>
    <d v="2017-12-18T00:00:00"/>
    <x v="154"/>
    <x v="1"/>
    <x v="3"/>
    <s v="Pennsylvania"/>
    <s v="Philadelphia"/>
    <n v="434.35199999999998"/>
  </r>
  <r>
    <d v="2017-12-18T00:00:00"/>
    <x v="154"/>
    <x v="1"/>
    <x v="3"/>
    <s v="Pennsylvania"/>
    <s v="Philadelphia"/>
    <n v="3.552"/>
  </r>
  <r>
    <d v="2017-12-18T00:00:00"/>
    <x v="154"/>
    <x v="1"/>
    <x v="3"/>
    <s v="Pennsylvania"/>
    <s v="Philadelphia"/>
    <n v="88.831999999999994"/>
  </r>
  <r>
    <d v="2017-12-19T00:00:00"/>
    <x v="155"/>
    <x v="1"/>
    <x v="2"/>
    <s v="Virginia"/>
    <s v="Arlington"/>
    <n v="36.270000000000003"/>
  </r>
  <r>
    <d v="2017-12-20T00:00:00"/>
    <x v="156"/>
    <x v="0"/>
    <x v="0"/>
    <s v="Colorado"/>
    <s v="Colorado Springs"/>
    <n v="60.984000000000002"/>
  </r>
  <r>
    <d v="2017-12-22T00:00:00"/>
    <x v="157"/>
    <x v="1"/>
    <x v="2"/>
    <s v="Virginia"/>
    <s v="Richmond"/>
    <n v="194.32"/>
  </r>
  <r>
    <d v="2017-12-24T00:00:00"/>
    <x v="158"/>
    <x v="2"/>
    <x v="3"/>
    <s v="New York"/>
    <s v="New York City"/>
    <n v="414.96"/>
  </r>
  <r>
    <d v="2017-12-26T00:00:00"/>
    <x v="159"/>
    <x v="2"/>
    <x v="3"/>
    <s v="Maryland"/>
    <s v="Clinton"/>
    <n v="355.96"/>
  </r>
  <r>
    <d v="2017-12-26T00:00:00"/>
    <x v="160"/>
    <x v="1"/>
    <x v="0"/>
    <s v="California"/>
    <s v="Los Angeles"/>
    <n v="106.96"/>
  </r>
  <r>
    <d v="2018-01-21T00:00:00"/>
    <x v="161"/>
    <x v="1"/>
    <x v="2"/>
    <s v="North Carolina"/>
    <s v="Fayetteville"/>
    <n v="64.864000000000004"/>
  </r>
  <r>
    <d v="2018-02-15T00:00:00"/>
    <x v="162"/>
    <x v="0"/>
    <x v="1"/>
    <s v="Illinois"/>
    <s v="Chicago"/>
    <n v="92.063999999999993"/>
  </r>
  <r>
    <d v="2018-02-21T00:00:00"/>
    <x v="163"/>
    <x v="2"/>
    <x v="1"/>
    <s v="Wisconsin"/>
    <s v="Milwaukee"/>
    <n v="490.32"/>
  </r>
  <r>
    <d v="2018-02-26T00:00:00"/>
    <x v="164"/>
    <x v="1"/>
    <x v="3"/>
    <s v="New York"/>
    <s v="New York City"/>
    <n v="170.88"/>
  </r>
  <r>
    <d v="2018-03-05T00:00:00"/>
    <x v="165"/>
    <x v="1"/>
    <x v="1"/>
    <s v="Illinois"/>
    <s v="Chicago"/>
    <n v="2.3340000000000001"/>
  </r>
  <r>
    <d v="2018-03-07T00:00:00"/>
    <x v="166"/>
    <x v="0"/>
    <x v="1"/>
    <s v="Michigan"/>
    <s v="Jackson"/>
    <n v="207.14400000000001"/>
  </r>
  <r>
    <d v="2018-03-11T00:00:00"/>
    <x v="167"/>
    <x v="0"/>
    <x v="0"/>
    <s v="California"/>
    <s v="San Francisco"/>
    <n v="154.9"/>
  </r>
  <r>
    <d v="2018-03-12T00:00:00"/>
    <x v="168"/>
    <x v="2"/>
    <x v="0"/>
    <s v="Arizona"/>
    <s v="Scottsdale"/>
    <n v="157.91999999999999"/>
  </r>
  <r>
    <d v="2018-03-12T00:00:00"/>
    <x v="169"/>
    <x v="2"/>
    <x v="2"/>
    <s v="Virginia"/>
    <s v="Waynesboro"/>
    <n v="160.32"/>
  </r>
  <r>
    <d v="2018-03-16T00:00:00"/>
    <x v="170"/>
    <x v="1"/>
    <x v="3"/>
    <s v="Maryland"/>
    <s v="Columbia"/>
    <n v="901.95"/>
  </r>
  <r>
    <d v="2018-03-17T00:00:00"/>
    <x v="171"/>
    <x v="1"/>
    <x v="2"/>
    <s v="Tennessee"/>
    <s v="Columbia"/>
    <n v="871.8"/>
  </r>
  <r>
    <d v="2018-03-31T00:00:00"/>
    <x v="172"/>
    <x v="0"/>
    <x v="0"/>
    <s v="Arizona"/>
    <s v="Sierra Vista"/>
    <n v="30.143999999999998"/>
  </r>
  <r>
    <d v="2018-04-09T00:00:00"/>
    <x v="173"/>
    <x v="1"/>
    <x v="0"/>
    <s v="California"/>
    <s v="San Francisco"/>
    <n v="113.76"/>
  </r>
  <r>
    <d v="2018-04-17T00:00:00"/>
    <x v="174"/>
    <x v="1"/>
    <x v="2"/>
    <s v="Virginia"/>
    <s v="Chesapeake"/>
    <n v="203.92"/>
  </r>
  <r>
    <d v="2018-04-20T00:00:00"/>
    <x v="175"/>
    <x v="0"/>
    <x v="1"/>
    <s v="Illinois"/>
    <s v="Chicago"/>
    <n v="48.792000000000002"/>
  </r>
  <r>
    <d v="2018-04-21T00:00:00"/>
    <x v="176"/>
    <x v="2"/>
    <x v="0"/>
    <s v="Arizona"/>
    <s v="Phoenix"/>
    <n v="78.272000000000006"/>
  </r>
  <r>
    <d v="2018-05-02T00:00:00"/>
    <x v="177"/>
    <x v="1"/>
    <x v="1"/>
    <s v="Illinois"/>
    <s v="Chicago"/>
    <n v="26.405999999999999"/>
  </r>
  <r>
    <d v="2018-05-05T00:00:00"/>
    <x v="178"/>
    <x v="2"/>
    <x v="1"/>
    <s v="Missouri"/>
    <s v="Springfield"/>
    <n v="54.48"/>
  </r>
  <r>
    <d v="2018-05-08T00:00:00"/>
    <x v="179"/>
    <x v="0"/>
    <x v="1"/>
    <s v="Texas"/>
    <s v="Austin"/>
    <n v="48.783999999999999"/>
  </r>
  <r>
    <d v="2018-05-11T00:00:00"/>
    <x v="180"/>
    <x v="1"/>
    <x v="0"/>
    <s v="California"/>
    <s v="Mission Viejo"/>
    <n v="8.67"/>
  </r>
  <r>
    <d v="2018-05-18T00:00:00"/>
    <x v="6"/>
    <x v="1"/>
    <x v="3"/>
    <s v="New York"/>
    <s v="New York City"/>
    <n v="242.9"/>
  </r>
  <r>
    <d v="2018-05-18T00:00:00"/>
    <x v="181"/>
    <x v="0"/>
    <x v="0"/>
    <s v="California"/>
    <s v="Los Angeles"/>
    <n v="87.84"/>
  </r>
  <r>
    <d v="2018-05-21T00:00:00"/>
    <x v="150"/>
    <x v="1"/>
    <x v="3"/>
    <s v="New Jersey"/>
    <s v="Passaic"/>
    <n v="662.84"/>
  </r>
  <r>
    <d v="2018-05-25T00:00:00"/>
    <x v="78"/>
    <x v="0"/>
    <x v="3"/>
    <s v="Pennsylvania"/>
    <s v="Philadelphia"/>
    <n v="34.847999999999999"/>
  </r>
  <r>
    <d v="2018-05-27T00:00:00"/>
    <x v="182"/>
    <x v="1"/>
    <x v="0"/>
    <s v="California"/>
    <s v="Los Angeles"/>
    <n v="262.24"/>
  </r>
  <r>
    <d v="2018-05-29T00:00:00"/>
    <x v="39"/>
    <x v="1"/>
    <x v="3"/>
    <s v="Ohio"/>
    <s v="Hamilton"/>
    <n v="123.92"/>
  </r>
  <r>
    <d v="2018-05-29T00:00:00"/>
    <x v="183"/>
    <x v="2"/>
    <x v="1"/>
    <s v="Wisconsin"/>
    <s v="Superior"/>
    <n v="364.74"/>
  </r>
  <r>
    <d v="2018-06-04T00:00:00"/>
    <x v="184"/>
    <x v="1"/>
    <x v="0"/>
    <s v="California"/>
    <s v="Santa Clara"/>
    <n v="58.24"/>
  </r>
  <r>
    <d v="2018-06-11T00:00:00"/>
    <x v="185"/>
    <x v="0"/>
    <x v="2"/>
    <s v="Alabama"/>
    <s v="Decatur"/>
    <n v="208.16"/>
  </r>
  <r>
    <d v="2018-06-11T00:00:00"/>
    <x v="177"/>
    <x v="1"/>
    <x v="3"/>
    <s v="New York"/>
    <s v="Long Beach"/>
    <n v="52.56"/>
  </r>
  <r>
    <d v="2018-06-11T00:00:00"/>
    <x v="186"/>
    <x v="2"/>
    <x v="1"/>
    <s v="Texas"/>
    <s v="Houston"/>
    <n v="64.384"/>
  </r>
  <r>
    <d v="2018-06-17T00:00:00"/>
    <x v="185"/>
    <x v="0"/>
    <x v="3"/>
    <s v="Pennsylvania"/>
    <s v="Philadelphia"/>
    <n v="453.6"/>
  </r>
  <r>
    <d v="2018-06-19T00:00:00"/>
    <x v="187"/>
    <x v="2"/>
    <x v="3"/>
    <s v="Pennsylvania"/>
    <s v="Philadelphia"/>
    <n v="447.69600000000003"/>
  </r>
  <r>
    <d v="2018-06-19T00:00:00"/>
    <x v="188"/>
    <x v="1"/>
    <x v="0"/>
    <s v="California"/>
    <s v="Pasadena"/>
    <n v="21.78"/>
  </r>
  <r>
    <d v="2018-06-23T00:00:00"/>
    <x v="189"/>
    <x v="0"/>
    <x v="1"/>
    <s v="Texas"/>
    <s v="Houston"/>
    <n v="8.7119999999999997"/>
  </r>
  <r>
    <d v="2018-06-23T00:00:00"/>
    <x v="190"/>
    <x v="1"/>
    <x v="0"/>
    <s v="California"/>
    <s v="San Diego"/>
    <n v="241.44"/>
  </r>
  <r>
    <d v="2018-06-24T00:00:00"/>
    <x v="191"/>
    <x v="1"/>
    <x v="0"/>
    <s v="California"/>
    <s v="Los Angeles"/>
    <n v="60.81"/>
  </r>
  <r>
    <d v="2018-06-27T00:00:00"/>
    <x v="192"/>
    <x v="1"/>
    <x v="3"/>
    <s v="New Jersey"/>
    <s v="Paterson"/>
    <n v="8.74"/>
  </r>
  <r>
    <d v="2018-06-27T00:00:00"/>
    <x v="192"/>
    <x v="1"/>
    <x v="3"/>
    <s v="New Jersey"/>
    <s v="Paterson"/>
    <n v="275.24"/>
  </r>
  <r>
    <d v="2018-07-02T00:00:00"/>
    <x v="167"/>
    <x v="0"/>
    <x v="3"/>
    <s v="New York"/>
    <s v="New York City"/>
    <n v="706.86"/>
  </r>
  <r>
    <d v="2018-07-13T00:00:00"/>
    <x v="193"/>
    <x v="1"/>
    <x v="0"/>
    <s v="California"/>
    <s v="San Francisco"/>
    <n v="151.62"/>
  </r>
  <r>
    <d v="2018-07-16T00:00:00"/>
    <x v="194"/>
    <x v="0"/>
    <x v="3"/>
    <s v="New Jersey"/>
    <s v="Perth Amboy"/>
    <n v="162.63999999999999"/>
  </r>
  <r>
    <d v="2018-07-16T00:00:00"/>
    <x v="147"/>
    <x v="1"/>
    <x v="3"/>
    <s v="New York"/>
    <s v="New York City"/>
    <n v="45.96"/>
  </r>
  <r>
    <d v="2018-07-21T00:00:00"/>
    <x v="195"/>
    <x v="0"/>
    <x v="3"/>
    <s v="Maryland"/>
    <s v="Columbia"/>
    <n v="37.68"/>
  </r>
  <r>
    <d v="2018-07-22T00:00:00"/>
    <x v="46"/>
    <x v="0"/>
    <x v="2"/>
    <s v="Florida"/>
    <s v="Tampa"/>
    <n v="23.696000000000002"/>
  </r>
  <r>
    <d v="2018-07-24T00:00:00"/>
    <x v="196"/>
    <x v="0"/>
    <x v="3"/>
    <s v="Ohio"/>
    <s v="Toledo"/>
    <n v="243.88"/>
  </r>
  <r>
    <d v="2018-07-27T00:00:00"/>
    <x v="197"/>
    <x v="1"/>
    <x v="3"/>
    <s v="Pennsylvania"/>
    <s v="Bethlehem"/>
    <n v="9.48"/>
  </r>
  <r>
    <d v="2018-07-29T00:00:00"/>
    <x v="198"/>
    <x v="0"/>
    <x v="0"/>
    <s v="California"/>
    <s v="San Francisco"/>
    <n v="715.64"/>
  </r>
  <r>
    <d v="2018-07-30T00:00:00"/>
    <x v="199"/>
    <x v="1"/>
    <x v="1"/>
    <s v="Michigan"/>
    <s v="Detroit"/>
    <n v="283.14"/>
  </r>
  <r>
    <d v="2018-07-31T00:00:00"/>
    <x v="67"/>
    <x v="0"/>
    <x v="0"/>
    <s v="California"/>
    <s v="Riverside"/>
    <n v="45.96"/>
  </r>
  <r>
    <d v="2018-08-07T00:00:00"/>
    <x v="200"/>
    <x v="2"/>
    <x v="0"/>
    <s v="California"/>
    <s v="Los Angeles"/>
    <n v="487.92"/>
  </r>
  <r>
    <d v="2018-08-08T00:00:00"/>
    <x v="201"/>
    <x v="1"/>
    <x v="2"/>
    <s v="North Carolina"/>
    <s v="Fayetteville"/>
    <n v="569.53599999999994"/>
  </r>
  <r>
    <d v="2018-08-12T00:00:00"/>
    <x v="59"/>
    <x v="1"/>
    <x v="2"/>
    <s v="Louisiana"/>
    <s v="Kenner"/>
    <n v="17.34"/>
  </r>
  <r>
    <d v="2018-08-12T00:00:00"/>
    <x v="202"/>
    <x v="1"/>
    <x v="1"/>
    <s v="Texas"/>
    <s v="Irving"/>
    <n v="58.923999999999999"/>
  </r>
  <r>
    <d v="2018-08-14T00:00:00"/>
    <x v="203"/>
    <x v="1"/>
    <x v="0"/>
    <s v="Colorado"/>
    <s v="Aurora"/>
    <n v="122.328"/>
  </r>
  <r>
    <d v="2018-08-17T00:00:00"/>
    <x v="204"/>
    <x v="0"/>
    <x v="3"/>
    <s v="New York"/>
    <s v="New York City"/>
    <n v="355.32"/>
  </r>
  <r>
    <d v="2018-08-21T00:00:00"/>
    <x v="205"/>
    <x v="1"/>
    <x v="3"/>
    <s v="Ohio"/>
    <s v="Columbus"/>
    <n v="113.55200000000001"/>
  </r>
  <r>
    <d v="2018-08-22T00:00:00"/>
    <x v="206"/>
    <x v="1"/>
    <x v="0"/>
    <s v="Washington"/>
    <s v="Seattle"/>
    <n v="43.1"/>
  </r>
  <r>
    <d v="2018-08-22T00:00:00"/>
    <x v="207"/>
    <x v="0"/>
    <x v="3"/>
    <s v="New York"/>
    <s v="New York City"/>
    <n v="1040.8"/>
  </r>
  <r>
    <d v="2018-08-31T00:00:00"/>
    <x v="208"/>
    <x v="1"/>
    <x v="1"/>
    <s v="Michigan"/>
    <s v="Detroit"/>
    <n v="376.74"/>
  </r>
  <r>
    <d v="2018-09-01T00:00:00"/>
    <x v="209"/>
    <x v="1"/>
    <x v="2"/>
    <s v="North Carolina"/>
    <s v="Charlotte"/>
    <n v="309.45600000000002"/>
  </r>
  <r>
    <d v="2018-09-03T00:00:00"/>
    <x v="210"/>
    <x v="1"/>
    <x v="2"/>
    <s v="Tennessee"/>
    <s v="Knoxville"/>
    <n v="87.168000000000006"/>
  </r>
  <r>
    <d v="2018-09-04T00:00:00"/>
    <x v="211"/>
    <x v="2"/>
    <x v="1"/>
    <s v="Texas"/>
    <s v="Houston"/>
    <n v="62.79"/>
  </r>
  <r>
    <d v="2018-09-05T00:00:00"/>
    <x v="156"/>
    <x v="0"/>
    <x v="1"/>
    <s v="Minnesota"/>
    <s v="Saint Paul"/>
    <n v="77.88"/>
  </r>
  <r>
    <d v="2018-09-07T00:00:00"/>
    <x v="212"/>
    <x v="2"/>
    <x v="3"/>
    <s v="New York"/>
    <s v="New York City"/>
    <n v="207.48"/>
  </r>
  <r>
    <d v="2018-09-12T00:00:00"/>
    <x v="213"/>
    <x v="1"/>
    <x v="1"/>
    <s v="Nebraska"/>
    <s v="Omaha"/>
    <n v="378"/>
  </r>
  <r>
    <d v="2018-09-15T00:00:00"/>
    <x v="214"/>
    <x v="0"/>
    <x v="0"/>
    <s v="California"/>
    <s v="San Jose"/>
    <n v="17.48"/>
  </r>
  <r>
    <d v="2018-09-19T00:00:00"/>
    <x v="215"/>
    <x v="1"/>
    <x v="3"/>
    <s v="New York"/>
    <s v="New York City"/>
    <n v="393.25"/>
  </r>
  <r>
    <d v="2018-09-24T00:00:00"/>
    <x v="75"/>
    <x v="1"/>
    <x v="3"/>
    <s v="Ohio"/>
    <s v="Cleveland"/>
    <n v="286.25599999999997"/>
  </r>
  <r>
    <d v="2018-09-25T00:00:00"/>
    <x v="216"/>
    <x v="2"/>
    <x v="0"/>
    <s v="Washington"/>
    <s v="Covington"/>
    <n v="236.88"/>
  </r>
  <r>
    <d v="2018-09-25T00:00:00"/>
    <x v="217"/>
    <x v="0"/>
    <x v="1"/>
    <s v="Texas"/>
    <s v="Houston"/>
    <n v="93.031999999999996"/>
  </r>
  <r>
    <d v="2018-10-01T00:00:00"/>
    <x v="218"/>
    <x v="0"/>
    <x v="3"/>
    <s v="New York"/>
    <s v="New York City"/>
    <n v="61.44"/>
  </r>
  <r>
    <d v="2018-10-14T00:00:00"/>
    <x v="82"/>
    <x v="2"/>
    <x v="1"/>
    <s v="Oklahoma"/>
    <s v="Oklahoma City"/>
    <n v="868.59"/>
  </r>
  <r>
    <d v="2018-10-14T00:00:00"/>
    <x v="21"/>
    <x v="0"/>
    <x v="2"/>
    <s v="Virginia"/>
    <s v="Springfield"/>
    <n v="43.26"/>
  </r>
  <r>
    <d v="2018-10-16T00:00:00"/>
    <x v="219"/>
    <x v="2"/>
    <x v="1"/>
    <s v="Missouri"/>
    <s v="Columbia"/>
    <n v="1927.59"/>
  </r>
  <r>
    <d v="2018-10-26T00:00:00"/>
    <x v="220"/>
    <x v="0"/>
    <x v="0"/>
    <s v="California"/>
    <s v="San Francisco"/>
    <n v="43.92"/>
  </r>
  <r>
    <d v="2018-10-28T00:00:00"/>
    <x v="221"/>
    <x v="0"/>
    <x v="3"/>
    <s v="New Jersey"/>
    <s v="Bridgeton"/>
    <n v="11.67"/>
  </r>
  <r>
    <d v="2018-11-02T00:00:00"/>
    <x v="222"/>
    <x v="1"/>
    <x v="0"/>
    <s v="California"/>
    <s v="Los Angeles"/>
    <n v="1101.48"/>
  </r>
  <r>
    <d v="2018-11-02T00:00:00"/>
    <x v="1"/>
    <x v="1"/>
    <x v="0"/>
    <s v="California"/>
    <s v="Los Angeles"/>
    <n v="43.32"/>
  </r>
  <r>
    <d v="2018-11-09T00:00:00"/>
    <x v="223"/>
    <x v="2"/>
    <x v="3"/>
    <s v="Ohio"/>
    <s v="Springfield"/>
    <n v="334.88"/>
  </r>
  <r>
    <d v="2018-11-09T00:00:00"/>
    <x v="224"/>
    <x v="1"/>
    <x v="0"/>
    <s v="California"/>
    <s v="Los Angeles"/>
    <n v="129.91999999999999"/>
  </r>
  <r>
    <d v="2018-11-10T00:00:00"/>
    <x v="225"/>
    <x v="2"/>
    <x v="2"/>
    <s v="Florida"/>
    <s v="Apopka"/>
    <n v="671.54399999999998"/>
  </r>
  <r>
    <d v="2018-11-11T00:00:00"/>
    <x v="226"/>
    <x v="0"/>
    <x v="1"/>
    <s v="Indiana"/>
    <s v="La Porte"/>
    <n v="37.68"/>
  </r>
  <r>
    <d v="2018-11-11T00:00:00"/>
    <x v="227"/>
    <x v="1"/>
    <x v="3"/>
    <s v="Ohio"/>
    <s v="Parma"/>
    <n v="110.096"/>
  </r>
  <r>
    <d v="2018-11-17T00:00:00"/>
    <x v="228"/>
    <x v="0"/>
    <x v="3"/>
    <s v="Ohio"/>
    <s v="Kent"/>
    <n v="103.968"/>
  </r>
  <r>
    <d v="2018-11-17T00:00:00"/>
    <x v="229"/>
    <x v="2"/>
    <x v="0"/>
    <s v="California"/>
    <s v="Los Angeles"/>
    <n v="67.84"/>
  </r>
  <r>
    <d v="2018-11-18T00:00:00"/>
    <x v="218"/>
    <x v="0"/>
    <x v="1"/>
    <s v="Indiana"/>
    <s v="Indianapolis"/>
    <n v="54.96"/>
  </r>
  <r>
    <d v="2018-11-18T00:00:00"/>
    <x v="230"/>
    <x v="1"/>
    <x v="3"/>
    <s v="New York"/>
    <s v="Long Beach"/>
    <n v="8.74"/>
  </r>
  <r>
    <d v="2018-11-19T00:00:00"/>
    <x v="231"/>
    <x v="0"/>
    <x v="0"/>
    <s v="California"/>
    <s v="Los Angeles"/>
    <n v="39"/>
  </r>
  <r>
    <d v="2018-11-23T00:00:00"/>
    <x v="232"/>
    <x v="2"/>
    <x v="2"/>
    <s v="Florida"/>
    <s v="Hialeah"/>
    <n v="42.384"/>
  </r>
  <r>
    <d v="2018-11-25T00:00:00"/>
    <x v="64"/>
    <x v="1"/>
    <x v="0"/>
    <s v="California"/>
    <s v="Los Angeles"/>
    <n v="64.959999999999994"/>
  </r>
  <r>
    <d v="2018-11-26T00:00:00"/>
    <x v="233"/>
    <x v="0"/>
    <x v="1"/>
    <s v="Michigan"/>
    <s v="Lincoln Park"/>
    <n v="167.292"/>
  </r>
  <r>
    <d v="2018-11-30T00:00:00"/>
    <x v="155"/>
    <x v="1"/>
    <x v="1"/>
    <s v="Texas"/>
    <s v="San Angelo"/>
    <n v="11.648"/>
  </r>
  <r>
    <d v="2018-11-30T00:00:00"/>
    <x v="234"/>
    <x v="1"/>
    <x v="3"/>
    <s v="Massachusetts"/>
    <s v="Franklin"/>
    <n v="901.95"/>
  </r>
  <r>
    <d v="2018-11-30T00:00:00"/>
    <x v="235"/>
    <x v="0"/>
    <x v="2"/>
    <s v="Virginia"/>
    <s v="Richmond"/>
    <n v="2104.5500000000002"/>
  </r>
  <r>
    <d v="2018-12-01T00:00:00"/>
    <x v="214"/>
    <x v="0"/>
    <x v="0"/>
    <s v="California"/>
    <s v="San Jose"/>
    <n v="59.7"/>
  </r>
  <r>
    <d v="2018-12-02T00:00:00"/>
    <x v="236"/>
    <x v="1"/>
    <x v="3"/>
    <s v="Pennsylvania"/>
    <s v="Philadelphia"/>
    <n v="394.81599999999997"/>
  </r>
  <r>
    <d v="2018-12-08T00:00:00"/>
    <x v="237"/>
    <x v="0"/>
    <x v="1"/>
    <s v="Nebraska"/>
    <s v="Fremont"/>
    <n v="60.34"/>
  </r>
  <r>
    <d v="2018-12-08T00:00:00"/>
    <x v="238"/>
    <x v="1"/>
    <x v="1"/>
    <s v="Michigan"/>
    <s v="Jackson"/>
    <n v="61.929000000000002"/>
  </r>
  <r>
    <d v="2018-12-08T00:00:00"/>
    <x v="198"/>
    <x v="0"/>
    <x v="1"/>
    <s v="Illinois"/>
    <s v="Chicago"/>
    <n v="4.3559999999999999"/>
  </r>
  <r>
    <d v="2018-12-09T00:00:00"/>
    <x v="239"/>
    <x v="1"/>
    <x v="0"/>
    <s v="Washington"/>
    <s v="Seattle"/>
    <n v="65.34"/>
  </r>
  <r>
    <d v="2018-12-09T00:00:00"/>
    <x v="239"/>
    <x v="1"/>
    <x v="0"/>
    <s v="Washington"/>
    <s v="Seattle"/>
    <n v="35.1"/>
  </r>
  <r>
    <d v="2018-12-10T00:00:00"/>
    <x v="117"/>
    <x v="0"/>
    <x v="3"/>
    <s v="Ohio"/>
    <s v="Columbus"/>
    <n v="387.13600000000002"/>
  </r>
  <r>
    <d v="2018-12-10T00:00:00"/>
    <x v="76"/>
    <x v="1"/>
    <x v="0"/>
    <s v="California"/>
    <s v="Anaheim"/>
    <n v="83.42"/>
  </r>
  <r>
    <d v="2018-12-10T00:00:00"/>
    <x v="240"/>
    <x v="0"/>
    <x v="3"/>
    <s v="Ohio"/>
    <s v="Springfield"/>
    <n v="73.536000000000001"/>
  </r>
  <r>
    <d v="2018-12-11T00:00:00"/>
    <x v="174"/>
    <x v="1"/>
    <x v="0"/>
    <s v="California"/>
    <s v="Pasadena"/>
    <n v="56.52"/>
  </r>
  <r>
    <d v="2018-12-14T00:00:00"/>
    <x v="241"/>
    <x v="2"/>
    <x v="0"/>
    <s v="Oregon"/>
    <s v="Springfield"/>
    <n v="87.168000000000006"/>
  </r>
  <r>
    <d v="2018-12-15T00:00:00"/>
    <x v="43"/>
    <x v="1"/>
    <x v="2"/>
    <s v="North Carolina"/>
    <s v="Goldsboro"/>
    <n v="34.944000000000003"/>
  </r>
  <r>
    <d v="2018-12-17T00:00:00"/>
    <x v="242"/>
    <x v="0"/>
    <x v="2"/>
    <s v="Florida"/>
    <s v="Tamarac"/>
    <n v="194.52799999999999"/>
  </r>
  <r>
    <d v="2018-12-25T00:00:00"/>
    <x v="243"/>
    <x v="0"/>
    <x v="0"/>
    <s v="Colorado"/>
    <s v="Denver"/>
    <n v="18.72"/>
  </r>
  <r>
    <d v="2018-12-25T00:00:00"/>
    <x v="244"/>
    <x v="0"/>
    <x v="0"/>
    <s v="California"/>
    <s v="Los Angeles"/>
    <n v="7.9"/>
  </r>
  <r>
    <d v="2018-12-25T00:00:00"/>
    <x v="145"/>
    <x v="0"/>
    <x v="3"/>
    <s v="New Jersey"/>
    <s v="Vineland"/>
    <n v="26.49"/>
  </r>
  <r>
    <d v="2018-12-28T00:00:00"/>
    <x v="245"/>
    <x v="1"/>
    <x v="1"/>
    <s v="Kansas"/>
    <s v="Wichita"/>
    <n v="81.96"/>
  </r>
  <r>
    <d v="2018-12-31T00:00:00"/>
    <x v="246"/>
    <x v="1"/>
    <x v="1"/>
    <s v="Texas"/>
    <s v="Huntsville"/>
    <n v="15.224"/>
  </r>
  <r>
    <d v="2019-01-01T00:00:00"/>
    <x v="104"/>
    <x v="1"/>
    <x v="1"/>
    <s v="Texas"/>
    <s v="El Paso"/>
    <n v="5.4320000000000004"/>
  </r>
  <r>
    <d v="2019-01-14T00:00:00"/>
    <x v="247"/>
    <x v="1"/>
    <x v="3"/>
    <s v="Pennsylvania"/>
    <s v="Philadelphia"/>
    <n v="34.384"/>
  </r>
  <r>
    <d v="2019-01-14T00:00:00"/>
    <x v="247"/>
    <x v="1"/>
    <x v="3"/>
    <s v="Pennsylvania"/>
    <s v="Philadelphia"/>
    <n v="1924.16"/>
  </r>
  <r>
    <d v="2019-01-18T00:00:00"/>
    <x v="248"/>
    <x v="1"/>
    <x v="3"/>
    <s v="Vermont"/>
    <s v="Burlington"/>
    <n v="542.94000000000005"/>
  </r>
  <r>
    <d v="2019-01-23T00:00:00"/>
    <x v="214"/>
    <x v="0"/>
    <x v="0"/>
    <s v="California"/>
    <s v="San Jose"/>
    <n v="25.86"/>
  </r>
  <r>
    <d v="2019-02-01T00:00:00"/>
    <x v="249"/>
    <x v="1"/>
    <x v="0"/>
    <s v="California"/>
    <s v="Los Angeles"/>
    <n v="46.8"/>
  </r>
  <r>
    <d v="2019-02-03T00:00:00"/>
    <x v="250"/>
    <x v="1"/>
    <x v="3"/>
    <s v="New York"/>
    <s v="Rochester"/>
    <n v="32.67"/>
  </r>
  <r>
    <d v="2019-02-04T00:00:00"/>
    <x v="251"/>
    <x v="0"/>
    <x v="0"/>
    <s v="California"/>
    <s v="Torrance"/>
    <n v="1640.7"/>
  </r>
  <r>
    <d v="2019-02-08T00:00:00"/>
    <x v="252"/>
    <x v="1"/>
    <x v="1"/>
    <s v="Texas"/>
    <s v="Houston"/>
    <n v="12.992000000000001"/>
  </r>
  <r>
    <d v="2019-02-12T00:00:00"/>
    <x v="253"/>
    <x v="1"/>
    <x v="1"/>
    <s v="Minnesota"/>
    <s v="Minneapolis"/>
    <n v="90.64"/>
  </r>
  <r>
    <d v="2019-02-18T00:00:00"/>
    <x v="254"/>
    <x v="0"/>
    <x v="2"/>
    <s v="Georgia"/>
    <s v="Roswell"/>
    <n v="1245.8599999999999"/>
  </r>
  <r>
    <d v="2019-02-19T00:00:00"/>
    <x v="255"/>
    <x v="2"/>
    <x v="1"/>
    <s v="Oklahoma"/>
    <s v="Muskogee"/>
    <n v="13.11"/>
  </r>
  <r>
    <d v="2019-02-25T00:00:00"/>
    <x v="256"/>
    <x v="2"/>
    <x v="0"/>
    <s v="California"/>
    <s v="Los Angeles"/>
    <n v="81.92"/>
  </r>
  <r>
    <d v="2019-02-25T00:00:00"/>
    <x v="40"/>
    <x v="1"/>
    <x v="0"/>
    <s v="California"/>
    <s v="Santa Barbara"/>
    <n v="356.79"/>
  </r>
  <r>
    <d v="2019-03-02T00:00:00"/>
    <x v="257"/>
    <x v="1"/>
    <x v="2"/>
    <s v="Kentucky"/>
    <s v="Murray"/>
    <n v="72.8"/>
  </r>
  <r>
    <d v="2019-03-04T00:00:00"/>
    <x v="258"/>
    <x v="0"/>
    <x v="2"/>
    <s v="Mississippi"/>
    <s v="Southaven"/>
    <n v="262.24"/>
  </r>
  <r>
    <d v="2019-03-07T00:00:00"/>
    <x v="233"/>
    <x v="0"/>
    <x v="2"/>
    <s v="Georgia"/>
    <s v="Columbus"/>
    <n v="647.84"/>
  </r>
  <r>
    <d v="2019-03-09T00:00:00"/>
    <x v="259"/>
    <x v="0"/>
    <x v="2"/>
    <s v="North Carolina"/>
    <s v="Raleigh"/>
    <n v="48.783999999999999"/>
  </r>
  <r>
    <d v="2019-03-12T00:00:00"/>
    <x v="260"/>
    <x v="1"/>
    <x v="3"/>
    <s v="Connecticut"/>
    <s v="Fairfield"/>
    <n v="465.16"/>
  </r>
  <r>
    <d v="2019-03-15T00:00:00"/>
    <x v="261"/>
    <x v="0"/>
    <x v="0"/>
    <s v="California"/>
    <s v="Los Angeles"/>
    <n v="140.66999999999999"/>
  </r>
  <r>
    <d v="2019-03-17T00:00:00"/>
    <x v="262"/>
    <x v="1"/>
    <x v="1"/>
    <s v="Texas"/>
    <s v="Tyler"/>
    <n v="2.6880000000000002"/>
  </r>
  <r>
    <d v="2019-03-17T00:00:00"/>
    <x v="263"/>
    <x v="0"/>
    <x v="0"/>
    <s v="California"/>
    <s v="Los Angeles"/>
    <n v="90.86"/>
  </r>
  <r>
    <d v="2019-03-18T00:00:00"/>
    <x v="264"/>
    <x v="0"/>
    <x v="0"/>
    <s v="California"/>
    <s v="Los Angeles"/>
    <n v="381.36"/>
  </r>
  <r>
    <d v="2019-03-20T00:00:00"/>
    <x v="265"/>
    <x v="0"/>
    <x v="2"/>
    <s v="Florida"/>
    <s v="Pompano Beach"/>
    <n v="64.384"/>
  </r>
  <r>
    <d v="2019-03-24T00:00:00"/>
    <x v="266"/>
    <x v="1"/>
    <x v="0"/>
    <s v="California"/>
    <s v="Fresno"/>
    <n v="176.04"/>
  </r>
  <r>
    <d v="2019-03-25T00:00:00"/>
    <x v="267"/>
    <x v="0"/>
    <x v="1"/>
    <s v="Texas"/>
    <s v="Houston"/>
    <n v="87.168000000000006"/>
  </r>
  <r>
    <d v="2019-03-30T00:00:00"/>
    <x v="268"/>
    <x v="0"/>
    <x v="1"/>
    <s v="Texas"/>
    <s v="Arlington"/>
    <n v="33.619999999999997"/>
  </r>
  <r>
    <d v="2019-03-31T00:00:00"/>
    <x v="269"/>
    <x v="0"/>
    <x v="2"/>
    <s v="Florida"/>
    <s v="Jacksonville"/>
    <n v="20.808"/>
  </r>
  <r>
    <d v="2019-04-07T00:00:00"/>
    <x v="270"/>
    <x v="2"/>
    <x v="3"/>
    <s v="New Jersey"/>
    <s v="Plainfield"/>
    <n v="41.95"/>
  </r>
  <r>
    <d v="2019-04-09T00:00:00"/>
    <x v="32"/>
    <x v="1"/>
    <x v="3"/>
    <s v="Pennsylvania"/>
    <s v="Philadelphia"/>
    <n v="195.10400000000001"/>
  </r>
  <r>
    <d v="2019-04-15T00:00:00"/>
    <x v="271"/>
    <x v="2"/>
    <x v="0"/>
    <s v="California"/>
    <s v="San Francisco"/>
    <n v="40.74"/>
  </r>
  <r>
    <d v="2019-04-20T00:00:00"/>
    <x v="272"/>
    <x v="1"/>
    <x v="1"/>
    <s v="Texas"/>
    <s v="Houston"/>
    <n v="97.263999999999996"/>
  </r>
  <r>
    <d v="2019-04-22T00:00:00"/>
    <x v="273"/>
    <x v="1"/>
    <x v="3"/>
    <s v="New York"/>
    <s v="New York City"/>
    <n v="121.94"/>
  </r>
  <r>
    <d v="2019-04-23T00:00:00"/>
    <x v="274"/>
    <x v="0"/>
    <x v="3"/>
    <s v="Pennsylvania"/>
    <s v="Philadelphia"/>
    <n v="99.28"/>
  </r>
  <r>
    <d v="2019-04-27T00:00:00"/>
    <x v="275"/>
    <x v="1"/>
    <x v="2"/>
    <s v="North Carolina"/>
    <s v="Wilmington"/>
    <n v="28.08"/>
  </r>
  <r>
    <d v="2019-05-05T00:00:00"/>
    <x v="104"/>
    <x v="1"/>
    <x v="0"/>
    <s v="California"/>
    <s v="Rancho Cucamonga"/>
    <n v="152.94"/>
  </r>
  <r>
    <d v="2019-05-06T00:00:00"/>
    <x v="127"/>
    <x v="0"/>
    <x v="1"/>
    <s v="Michigan"/>
    <s v="Detroit"/>
    <n v="87.444000000000003"/>
  </r>
  <r>
    <d v="2019-05-07T00:00:00"/>
    <x v="276"/>
    <x v="1"/>
    <x v="0"/>
    <s v="California"/>
    <s v="San Francisco"/>
    <n v="81.08"/>
  </r>
  <r>
    <d v="2019-05-11T00:00:00"/>
    <x v="277"/>
    <x v="0"/>
    <x v="0"/>
    <s v="California"/>
    <s v="San Francisco"/>
    <n v="7.77"/>
  </r>
  <r>
    <d v="2019-05-12T00:00:00"/>
    <x v="226"/>
    <x v="0"/>
    <x v="2"/>
    <s v="Tennessee"/>
    <s v="Franklin"/>
    <n v="20.768000000000001"/>
  </r>
  <r>
    <d v="2019-05-17T00:00:00"/>
    <x v="278"/>
    <x v="0"/>
    <x v="2"/>
    <s v="Georgia"/>
    <s v="Sandy Springs"/>
    <n v="17.239999999999998"/>
  </r>
  <r>
    <d v="2019-05-17T00:00:00"/>
    <x v="223"/>
    <x v="2"/>
    <x v="1"/>
    <s v="Missouri"/>
    <s v="Springfield"/>
    <n v="706.86"/>
  </r>
  <r>
    <d v="2019-05-18T00:00:00"/>
    <x v="147"/>
    <x v="1"/>
    <x v="0"/>
    <s v="Washington"/>
    <s v="Seattle"/>
    <n v="97.16"/>
  </r>
  <r>
    <d v="2019-05-18T00:00:00"/>
    <x v="279"/>
    <x v="0"/>
    <x v="3"/>
    <s v="New York"/>
    <s v="Mount Vernon"/>
    <n v="281.33999999999997"/>
  </r>
  <r>
    <d v="2019-05-19T00:00:00"/>
    <x v="280"/>
    <x v="1"/>
    <x v="0"/>
    <s v="Nevada"/>
    <s v="Las Vegas"/>
    <n v="64.900000000000006"/>
  </r>
  <r>
    <d v="2019-05-22T00:00:00"/>
    <x v="199"/>
    <x v="1"/>
    <x v="1"/>
    <s v="Texas"/>
    <s v="Houston"/>
    <n v="18.32"/>
  </r>
  <r>
    <d v="2019-05-25T00:00:00"/>
    <x v="281"/>
    <x v="0"/>
    <x v="2"/>
    <s v="Kentucky"/>
    <s v="Louisville"/>
    <n v="208.44"/>
  </r>
  <r>
    <d v="2019-05-27T00:00:00"/>
    <x v="282"/>
    <x v="0"/>
    <x v="3"/>
    <s v="Maryland"/>
    <s v="Laurel"/>
    <n v="125.13"/>
  </r>
  <r>
    <d v="2019-05-28T00:00:00"/>
    <x v="283"/>
    <x v="1"/>
    <x v="1"/>
    <s v="Indiana"/>
    <s v="Columbus"/>
    <n v="465.16"/>
  </r>
  <r>
    <d v="2019-05-31T00:00:00"/>
    <x v="172"/>
    <x v="0"/>
    <x v="3"/>
    <s v="Ohio"/>
    <s v="Toledo"/>
    <n v="17.48"/>
  </r>
  <r>
    <d v="2019-06-02T00:00:00"/>
    <x v="284"/>
    <x v="1"/>
    <x v="2"/>
    <s v="Florida"/>
    <s v="Pembroke Pines"/>
    <n v="5.2"/>
  </r>
  <r>
    <d v="2019-06-02T00:00:00"/>
    <x v="284"/>
    <x v="1"/>
    <x v="2"/>
    <s v="Florida"/>
    <s v="Pembroke Pines"/>
    <n v="24.472000000000001"/>
  </r>
  <r>
    <d v="2019-06-07T00:00:00"/>
    <x v="285"/>
    <x v="0"/>
    <x v="1"/>
    <s v="Texas"/>
    <s v="Pasadena"/>
    <n v="1.6240000000000001"/>
  </r>
  <r>
    <d v="2019-06-10T00:00:00"/>
    <x v="286"/>
    <x v="1"/>
    <x v="0"/>
    <s v="California"/>
    <s v="Los Angeles"/>
    <n v="61.44"/>
  </r>
  <r>
    <d v="2019-06-14T00:00:00"/>
    <x v="67"/>
    <x v="0"/>
    <x v="2"/>
    <s v="Tennessee"/>
    <s v="Nashville"/>
    <n v="76.608000000000004"/>
  </r>
  <r>
    <d v="2019-06-15T00:00:00"/>
    <x v="109"/>
    <x v="1"/>
    <x v="2"/>
    <s v="Kentucky"/>
    <s v="Florence"/>
    <n v="180.66"/>
  </r>
  <r>
    <d v="2019-06-18T00:00:00"/>
    <x v="58"/>
    <x v="1"/>
    <x v="1"/>
    <s v="Texas"/>
    <s v="Houston"/>
    <n v="2.2639999999999998"/>
  </r>
  <r>
    <d v="2019-06-18T00:00:00"/>
    <x v="58"/>
    <x v="1"/>
    <x v="1"/>
    <s v="Texas"/>
    <s v="Houston"/>
    <n v="0.44400000000000001"/>
  </r>
  <r>
    <d v="2019-06-28T00:00:00"/>
    <x v="8"/>
    <x v="1"/>
    <x v="1"/>
    <s v="Minnesota"/>
    <s v="Minneapolis"/>
    <n v="362.94"/>
  </r>
  <r>
    <d v="2019-06-28T00:00:00"/>
    <x v="203"/>
    <x v="1"/>
    <x v="1"/>
    <s v="Texas"/>
    <s v="Dallas"/>
    <n v="21.391999999999999"/>
  </r>
  <r>
    <d v="2019-07-08T00:00:00"/>
    <x v="117"/>
    <x v="0"/>
    <x v="1"/>
    <s v="Illinois"/>
    <s v="Chicago"/>
    <n v="58.463999999999999"/>
  </r>
  <r>
    <d v="2019-07-09T00:00:00"/>
    <x v="287"/>
    <x v="0"/>
    <x v="2"/>
    <s v="Georgia"/>
    <s v="Columbus"/>
    <n v="41.91"/>
  </r>
  <r>
    <d v="2019-07-10T00:00:00"/>
    <x v="288"/>
    <x v="0"/>
    <x v="0"/>
    <s v="California"/>
    <s v="Los Angeles"/>
    <n v="168.1"/>
  </r>
  <r>
    <d v="2019-07-14T00:00:00"/>
    <x v="34"/>
    <x v="0"/>
    <x v="2"/>
    <s v="Virginia"/>
    <s v="Suffolk"/>
    <n v="179.94"/>
  </r>
  <r>
    <d v="2019-07-19T00:00:00"/>
    <x v="289"/>
    <x v="0"/>
    <x v="1"/>
    <s v="South Dakota"/>
    <s v="Sioux Falls"/>
    <n v="416.32"/>
  </r>
  <r>
    <d v="2019-07-20T00:00:00"/>
    <x v="290"/>
    <x v="1"/>
    <x v="3"/>
    <s v="New York"/>
    <s v="New York City"/>
    <n v="17.48"/>
  </r>
  <r>
    <d v="2019-07-28T00:00:00"/>
    <x v="291"/>
    <x v="1"/>
    <x v="2"/>
    <s v="North Carolina"/>
    <s v="Jacksonville"/>
    <n v="34.847999999999999"/>
  </r>
  <r>
    <d v="2019-07-28T00:00:00"/>
    <x v="292"/>
    <x v="1"/>
    <x v="1"/>
    <s v="Oklahoma"/>
    <s v="Oklahoma City"/>
    <n v="137.62"/>
  </r>
  <r>
    <d v="2019-07-30T00:00:00"/>
    <x v="70"/>
    <x v="0"/>
    <x v="1"/>
    <s v="Wisconsin"/>
    <s v="Milwaukee"/>
    <n v="155.88"/>
  </r>
  <r>
    <d v="2019-08-06T00:00:00"/>
    <x v="293"/>
    <x v="1"/>
    <x v="0"/>
    <s v="California"/>
    <s v="Westminster"/>
    <n v="1473.1"/>
  </r>
  <r>
    <d v="2019-08-11T00:00:00"/>
    <x v="39"/>
    <x v="1"/>
    <x v="0"/>
    <s v="California"/>
    <s v="Lake Forest"/>
    <n v="542.94000000000005"/>
  </r>
  <r>
    <d v="2019-08-12T00:00:00"/>
    <x v="154"/>
    <x v="1"/>
    <x v="0"/>
    <s v="California"/>
    <s v="San Francisco"/>
    <n v="83.79"/>
  </r>
  <r>
    <d v="2019-08-12T00:00:00"/>
    <x v="294"/>
    <x v="1"/>
    <x v="2"/>
    <s v="Tennessee"/>
    <s v="Memphis"/>
    <n v="272.048"/>
  </r>
  <r>
    <d v="2019-08-14T00:00:00"/>
    <x v="295"/>
    <x v="1"/>
    <x v="3"/>
    <s v="New Jersey"/>
    <s v="Plainfield"/>
    <n v="97.84"/>
  </r>
  <r>
    <d v="2019-08-16T00:00:00"/>
    <x v="296"/>
    <x v="2"/>
    <x v="1"/>
    <s v="Texas"/>
    <s v="Houston"/>
    <n v="38.863999999999997"/>
  </r>
  <r>
    <d v="2019-08-16T00:00:00"/>
    <x v="127"/>
    <x v="0"/>
    <x v="0"/>
    <s v="California"/>
    <s v="Brentwood"/>
    <n v="2518.29"/>
  </r>
  <r>
    <d v="2019-08-20T00:00:00"/>
    <x v="297"/>
    <x v="1"/>
    <x v="0"/>
    <s v="California"/>
    <s v="Oakland"/>
    <n v="203.52"/>
  </r>
  <r>
    <d v="2019-08-22T00:00:00"/>
    <x v="298"/>
    <x v="1"/>
    <x v="2"/>
    <s v="Florida"/>
    <s v="Tallahassee"/>
    <n v="161.376"/>
  </r>
  <r>
    <d v="2019-08-23T00:00:00"/>
    <x v="48"/>
    <x v="1"/>
    <x v="3"/>
    <s v="Ohio"/>
    <s v="Lancaster"/>
    <n v="646.27200000000005"/>
  </r>
  <r>
    <d v="2019-08-26T00:00:00"/>
    <x v="299"/>
    <x v="0"/>
    <x v="0"/>
    <s v="California"/>
    <s v="Inglewood"/>
    <n v="321.92"/>
  </r>
  <r>
    <d v="2019-08-26T00:00:00"/>
    <x v="300"/>
    <x v="1"/>
    <x v="2"/>
    <s v="Florida"/>
    <s v="Port Saint Lucie"/>
    <n v="14.336"/>
  </r>
  <r>
    <d v="2019-08-27T00:00:00"/>
    <x v="301"/>
    <x v="2"/>
    <x v="1"/>
    <s v="Wisconsin"/>
    <s v="Milwaukee"/>
    <n v="91.6"/>
  </r>
  <r>
    <d v="2019-08-30T00:00:00"/>
    <x v="148"/>
    <x v="1"/>
    <x v="1"/>
    <s v="Indiana"/>
    <s v="Lawrence"/>
    <n v="638.73"/>
  </r>
  <r>
    <d v="2019-08-31T00:00:00"/>
    <x v="127"/>
    <x v="0"/>
    <x v="0"/>
    <s v="Washington"/>
    <s v="Seattle"/>
    <n v="314.60000000000002"/>
  </r>
  <r>
    <d v="2019-09-01T00:00:00"/>
    <x v="302"/>
    <x v="0"/>
    <x v="3"/>
    <s v="New York"/>
    <s v="New York City"/>
    <n v="12.98"/>
  </r>
  <r>
    <d v="2019-09-01T00:00:00"/>
    <x v="303"/>
    <x v="0"/>
    <x v="1"/>
    <s v="Illinois"/>
    <s v="Chicago"/>
    <n v="5.5880000000000001"/>
  </r>
  <r>
    <d v="2019-09-06T00:00:00"/>
    <x v="56"/>
    <x v="0"/>
    <x v="2"/>
    <s v="Tennessee"/>
    <s v="Nashville"/>
    <n v="81.567999999999998"/>
  </r>
  <r>
    <d v="2019-09-08T00:00:00"/>
    <x v="274"/>
    <x v="0"/>
    <x v="0"/>
    <s v="Oregon"/>
    <s v="Portland"/>
    <n v="11.176"/>
  </r>
  <r>
    <d v="2019-09-09T00:00:00"/>
    <x v="247"/>
    <x v="1"/>
    <x v="1"/>
    <s v="Missouri"/>
    <s v="Springfield"/>
    <n v="33.99"/>
  </r>
  <r>
    <d v="2019-09-09T00:00:00"/>
    <x v="247"/>
    <x v="1"/>
    <x v="1"/>
    <s v="Missouri"/>
    <s v="Springfield"/>
    <n v="24.18"/>
  </r>
  <r>
    <d v="2019-09-10T00:00:00"/>
    <x v="304"/>
    <x v="1"/>
    <x v="0"/>
    <s v="California"/>
    <s v="San Francisco"/>
    <n v="406.6"/>
  </r>
  <r>
    <d v="2019-09-10T00:00:00"/>
    <x v="305"/>
    <x v="1"/>
    <x v="1"/>
    <s v="Texas"/>
    <s v="Houston"/>
    <n v="1.556"/>
  </r>
  <r>
    <d v="2019-09-10T00:00:00"/>
    <x v="304"/>
    <x v="1"/>
    <x v="2"/>
    <s v="Virginia"/>
    <s v="Richmond"/>
    <n v="67.900000000000006"/>
  </r>
  <r>
    <d v="2019-09-10T00:00:00"/>
    <x v="306"/>
    <x v="1"/>
    <x v="2"/>
    <s v="Kentucky"/>
    <s v="Georgetown"/>
    <n v="195.68"/>
  </r>
  <r>
    <d v="2019-09-11T00:00:00"/>
    <x v="307"/>
    <x v="1"/>
    <x v="3"/>
    <s v="Maryland"/>
    <s v="Baltimore"/>
    <n v="90.86"/>
  </r>
  <r>
    <d v="2019-09-13T00:00:00"/>
    <x v="308"/>
    <x v="0"/>
    <x v="2"/>
    <s v="North Carolina"/>
    <s v="Raleigh"/>
    <n v="942.78399999999999"/>
  </r>
  <r>
    <d v="2019-09-14T00:00:00"/>
    <x v="280"/>
    <x v="1"/>
    <x v="0"/>
    <s v="California"/>
    <s v="San Francisco"/>
    <n v="108.96"/>
  </r>
  <r>
    <d v="2019-09-20T00:00:00"/>
    <x v="309"/>
    <x v="1"/>
    <x v="2"/>
    <s v="Georgia"/>
    <s v="Columbus"/>
    <n v="80.48"/>
  </r>
  <r>
    <d v="2019-09-22T00:00:00"/>
    <x v="310"/>
    <x v="1"/>
    <x v="0"/>
    <s v="Washington"/>
    <s v="Seattle"/>
    <n v="119.96"/>
  </r>
  <r>
    <d v="2019-09-22T00:00:00"/>
    <x v="32"/>
    <x v="1"/>
    <x v="0"/>
    <s v="California"/>
    <s v="San Francisco"/>
    <n v="160.96"/>
  </r>
  <r>
    <d v="2019-09-22T00:00:00"/>
    <x v="165"/>
    <x v="1"/>
    <x v="1"/>
    <s v="Illinois"/>
    <s v="Chicago"/>
    <n v="73.176000000000002"/>
  </r>
  <r>
    <d v="2019-09-27T00:00:00"/>
    <x v="311"/>
    <x v="2"/>
    <x v="0"/>
    <s v="Colorado"/>
    <s v="Aurora"/>
    <n v="209.792"/>
  </r>
  <r>
    <d v="2019-09-28T00:00:00"/>
    <x v="102"/>
    <x v="1"/>
    <x v="0"/>
    <s v="California"/>
    <s v="Bakersfield"/>
    <n v="97.84"/>
  </r>
  <r>
    <d v="2019-09-29T00:00:00"/>
    <x v="312"/>
    <x v="0"/>
    <x v="0"/>
    <s v="Washington"/>
    <s v="Seattle"/>
    <n v="3.89"/>
  </r>
  <r>
    <d v="2019-09-30T00:00:00"/>
    <x v="313"/>
    <x v="1"/>
    <x v="0"/>
    <s v="California"/>
    <s v="San Jose"/>
    <n v="241.96"/>
  </r>
  <r>
    <d v="2019-10-01T00:00:00"/>
    <x v="240"/>
    <x v="0"/>
    <x v="1"/>
    <s v="Texas"/>
    <s v="Houston"/>
    <n v="15.224"/>
  </r>
  <r>
    <d v="2019-10-01T00:00:00"/>
    <x v="240"/>
    <x v="0"/>
    <x v="1"/>
    <s v="Texas"/>
    <s v="Houston"/>
    <n v="21.984000000000002"/>
  </r>
  <r>
    <d v="2019-10-02T00:00:00"/>
    <x v="298"/>
    <x v="1"/>
    <x v="2"/>
    <s v="Florida"/>
    <s v="Hialeah"/>
    <n v="17.920000000000002"/>
  </r>
  <r>
    <d v="2019-10-04T00:00:00"/>
    <x v="314"/>
    <x v="0"/>
    <x v="0"/>
    <s v="California"/>
    <s v="Chico"/>
    <n v="15.8"/>
  </r>
  <r>
    <d v="2019-10-05T00:00:00"/>
    <x v="315"/>
    <x v="2"/>
    <x v="0"/>
    <s v="Idaho"/>
    <s v="Meridian"/>
    <n v="227.84"/>
  </r>
  <r>
    <d v="2019-10-12T00:00:00"/>
    <x v="205"/>
    <x v="1"/>
    <x v="3"/>
    <s v="New York"/>
    <s v="New York City"/>
    <n v="904.9"/>
  </r>
  <r>
    <d v="2019-10-20T00:00:00"/>
    <x v="227"/>
    <x v="1"/>
    <x v="1"/>
    <s v="Illinois"/>
    <s v="Chicago"/>
    <n v="23.992000000000001"/>
  </r>
  <r>
    <d v="2019-10-20T00:00:00"/>
    <x v="219"/>
    <x v="2"/>
    <x v="3"/>
    <s v="Ohio"/>
    <s v="Lakewood"/>
    <n v="161.56800000000001"/>
  </r>
  <r>
    <d v="2019-10-22T00:00:00"/>
    <x v="316"/>
    <x v="0"/>
    <x v="3"/>
    <s v="Rhode Island"/>
    <s v="Cranston"/>
    <n v="2.2200000000000002"/>
  </r>
  <r>
    <d v="2019-10-29T00:00:00"/>
    <x v="317"/>
    <x v="1"/>
    <x v="0"/>
    <s v="California"/>
    <s v="San Francisco"/>
    <n v="1702.12"/>
  </r>
  <r>
    <d v="2019-11-01T00:00:00"/>
    <x v="318"/>
    <x v="0"/>
    <x v="3"/>
    <s v="Pennsylvania"/>
    <s v="Philadelphia"/>
    <n v="20.135999999999999"/>
  </r>
  <r>
    <d v="2019-11-01T00:00:00"/>
    <x v="319"/>
    <x v="1"/>
    <x v="0"/>
    <s v="California"/>
    <s v="Los Angeles"/>
    <n v="168.1"/>
  </r>
  <r>
    <d v="2019-11-01T00:00:00"/>
    <x v="320"/>
    <x v="1"/>
    <x v="1"/>
    <s v="Missouri"/>
    <s v="Saint Louis"/>
    <n v="83.9"/>
  </r>
  <r>
    <d v="2019-11-03T00:00:00"/>
    <x v="321"/>
    <x v="0"/>
    <x v="2"/>
    <s v="North Carolina"/>
    <s v="Burlington"/>
    <n v="167.44"/>
  </r>
  <r>
    <d v="2019-11-05T00:00:00"/>
    <x v="322"/>
    <x v="1"/>
    <x v="2"/>
    <s v="North Carolina"/>
    <s v="Fayetteville"/>
    <n v="499.584"/>
  </r>
  <r>
    <d v="2019-11-06T00:00:00"/>
    <x v="323"/>
    <x v="1"/>
    <x v="3"/>
    <s v="Delaware"/>
    <s v="Newark"/>
    <n v="100.94"/>
  </r>
  <r>
    <d v="2019-11-09T00:00:00"/>
    <x v="324"/>
    <x v="1"/>
    <x v="0"/>
    <s v="Washington"/>
    <s v="Pasco"/>
    <n v="400.8"/>
  </r>
  <r>
    <d v="2019-11-10T00:00:00"/>
    <x v="325"/>
    <x v="1"/>
    <x v="0"/>
    <s v="California"/>
    <s v="Los Angeles"/>
    <n v="10.89"/>
  </r>
  <r>
    <d v="2019-11-10T00:00:00"/>
    <x v="145"/>
    <x v="0"/>
    <x v="2"/>
    <s v="Florida"/>
    <s v="Fort Lauderdale"/>
    <n v="1158.1199999999999"/>
  </r>
  <r>
    <d v="2019-11-11T00:00:00"/>
    <x v="326"/>
    <x v="1"/>
    <x v="0"/>
    <s v="Washington"/>
    <s v="Longview"/>
    <n v="76.12"/>
  </r>
  <r>
    <d v="2019-11-12T00:00:00"/>
    <x v="327"/>
    <x v="2"/>
    <x v="1"/>
    <s v="Texas"/>
    <s v="Houston"/>
    <n v="9.3239999999999998"/>
  </r>
  <r>
    <d v="2019-11-16T00:00:00"/>
    <x v="38"/>
    <x v="1"/>
    <x v="2"/>
    <s v="Virginia"/>
    <s v="Salem"/>
    <n v="35.04"/>
  </r>
  <r>
    <d v="2019-11-17T00:00:00"/>
    <x v="328"/>
    <x v="0"/>
    <x v="2"/>
    <s v="Florida"/>
    <s v="Miramar"/>
    <n v="389.05599999999998"/>
  </r>
  <r>
    <d v="2019-11-18T00:00:00"/>
    <x v="329"/>
    <x v="0"/>
    <x v="3"/>
    <s v="New York"/>
    <s v="New York City"/>
    <n v="2504.7399999999998"/>
  </r>
  <r>
    <d v="2019-11-20T00:00:00"/>
    <x v="330"/>
    <x v="2"/>
    <x v="0"/>
    <s v="California"/>
    <s v="Pasadena"/>
    <n v="8.6199999999999992"/>
  </r>
  <r>
    <d v="2019-11-23T00:00:00"/>
    <x v="331"/>
    <x v="0"/>
    <x v="1"/>
    <s v="Texas"/>
    <s v="Odessa"/>
    <n v="13.762"/>
  </r>
  <r>
    <d v="2019-11-24T00:00:00"/>
    <x v="332"/>
    <x v="1"/>
    <x v="1"/>
    <s v="Texas"/>
    <s v="Houston"/>
    <n v="67.84"/>
  </r>
  <r>
    <d v="2019-11-25T00:00:00"/>
    <x v="333"/>
    <x v="0"/>
    <x v="3"/>
    <s v="Ohio"/>
    <s v="Columbus"/>
    <n v="52.271999999999998"/>
  </r>
  <r>
    <d v="2019-11-25T00:00:00"/>
    <x v="333"/>
    <x v="0"/>
    <x v="3"/>
    <s v="Ohio"/>
    <s v="Columbus"/>
    <n v="213.136"/>
  </r>
  <r>
    <d v="2019-11-25T00:00:00"/>
    <x v="16"/>
    <x v="2"/>
    <x v="3"/>
    <s v="New York"/>
    <s v="New York City"/>
    <n v="58.73"/>
  </r>
  <r>
    <d v="2019-11-26T00:00:00"/>
    <x v="334"/>
    <x v="1"/>
    <x v="2"/>
    <s v="North Carolina"/>
    <s v="Asheville"/>
    <n v="43.584000000000003"/>
  </r>
  <r>
    <d v="2019-11-29T00:00:00"/>
    <x v="335"/>
    <x v="2"/>
    <x v="3"/>
    <s v="Ohio"/>
    <s v="Toledo"/>
    <n v="663.93600000000004"/>
  </r>
  <r>
    <d v="2019-11-30T00:00:00"/>
    <x v="336"/>
    <x v="1"/>
    <x v="0"/>
    <s v="Colorado"/>
    <s v="Denver"/>
    <n v="31.152000000000001"/>
  </r>
  <r>
    <d v="2019-12-01T00:00:00"/>
    <x v="337"/>
    <x v="1"/>
    <x v="1"/>
    <s v="Texas"/>
    <s v="Houston"/>
    <n v="294.62"/>
  </r>
  <r>
    <d v="2019-12-01T00:00:00"/>
    <x v="338"/>
    <x v="0"/>
    <x v="0"/>
    <s v="California"/>
    <s v="Los Angeles"/>
    <n v="79.47"/>
  </r>
  <r>
    <d v="2019-12-01T00:00:00"/>
    <x v="339"/>
    <x v="1"/>
    <x v="3"/>
    <s v="Massachusetts"/>
    <s v="Lowell"/>
    <n v="286.86"/>
  </r>
  <r>
    <d v="2019-12-02T00:00:00"/>
    <x v="72"/>
    <x v="1"/>
    <x v="2"/>
    <s v="North Carolina"/>
    <s v="Fayetteville"/>
    <n v="45.216000000000001"/>
  </r>
  <r>
    <d v="2019-12-04T00:00:00"/>
    <x v="340"/>
    <x v="1"/>
    <x v="1"/>
    <s v="Indiana"/>
    <s v="Columbus"/>
    <n v="61.44"/>
  </r>
  <r>
    <d v="2019-12-04T00:00:00"/>
    <x v="341"/>
    <x v="0"/>
    <x v="3"/>
    <s v="New York"/>
    <s v="New York City"/>
    <n v="254.9"/>
  </r>
  <r>
    <d v="2019-12-06T00:00:00"/>
    <x v="23"/>
    <x v="1"/>
    <x v="2"/>
    <s v="Mississippi"/>
    <s v="Hattiesburg"/>
    <n v="320.64"/>
  </r>
  <r>
    <d v="2019-12-07T00:00:00"/>
    <x v="342"/>
    <x v="0"/>
    <x v="0"/>
    <s v="California"/>
    <s v="San Francisco"/>
    <n v="69.48"/>
  </r>
  <r>
    <d v="2019-12-07T00:00:00"/>
    <x v="343"/>
    <x v="1"/>
    <x v="1"/>
    <s v="Wisconsin"/>
    <s v="Madison"/>
    <n v="1089.75"/>
  </r>
  <r>
    <d v="2019-12-08T00:00:00"/>
    <x v="344"/>
    <x v="2"/>
    <x v="0"/>
    <s v="California"/>
    <s v="Los Angeles"/>
    <n v="189"/>
  </r>
  <r>
    <d v="2019-12-08T00:00:00"/>
    <x v="249"/>
    <x v="1"/>
    <x v="2"/>
    <s v="Kentucky"/>
    <s v="Richmond"/>
    <n v="214.9"/>
  </r>
  <r>
    <d v="2019-12-09T00:00:00"/>
    <x v="345"/>
    <x v="1"/>
    <x v="3"/>
    <s v="Connecticut"/>
    <s v="Fairfield"/>
    <n v="426.79"/>
  </r>
  <r>
    <d v="2019-12-10T00:00:00"/>
    <x v="346"/>
    <x v="1"/>
    <x v="1"/>
    <s v="Texas"/>
    <s v="Abilene"/>
    <n v="1.3919999999999999"/>
  </r>
  <r>
    <d v="2019-12-14T00:00:00"/>
    <x v="347"/>
    <x v="1"/>
    <x v="0"/>
    <s v="California"/>
    <s v="Inglewood"/>
    <n v="54.32"/>
  </r>
  <r>
    <d v="2019-12-16T00:00:00"/>
    <x v="348"/>
    <x v="1"/>
    <x v="1"/>
    <s v="Texas"/>
    <s v="Dallas"/>
    <n v="66.284000000000006"/>
  </r>
  <r>
    <d v="2019-12-17T00:00:00"/>
    <x v="349"/>
    <x v="1"/>
    <x v="3"/>
    <s v="New York"/>
    <s v="New York City"/>
    <n v="1704.56"/>
  </r>
  <r>
    <d v="2019-12-17T00:00:00"/>
    <x v="350"/>
    <x v="1"/>
    <x v="3"/>
    <s v="Ohio"/>
    <s v="Columbus"/>
    <n v="130.11199999999999"/>
  </r>
  <r>
    <d v="2019-12-21T00:00:00"/>
    <x v="351"/>
    <x v="1"/>
    <x v="1"/>
    <s v="Missouri"/>
    <s v="Independence"/>
    <n v="839.43"/>
  </r>
  <r>
    <d v="2019-12-21T00:00:00"/>
    <x v="275"/>
    <x v="1"/>
    <x v="2"/>
    <s v="Tennessee"/>
    <s v="Jackson"/>
    <n v="59.24"/>
  </r>
  <r>
    <d v="2019-12-22T00:00:00"/>
    <x v="352"/>
    <x v="1"/>
    <x v="1"/>
    <s v="Texas"/>
    <s v="College Station"/>
    <n v="29.312000000000001"/>
  </r>
  <r>
    <d v="2019-12-23T00:00:00"/>
    <x v="174"/>
    <x v="1"/>
    <x v="3"/>
    <s v="New York"/>
    <s v="New York City"/>
    <n v="35.909999999999997"/>
  </r>
  <r>
    <d v="2019-12-29T00:00:00"/>
    <x v="353"/>
    <x v="2"/>
    <x v="1"/>
    <s v="Indiana"/>
    <s v="Columbus"/>
    <n v="209.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">
  <r>
    <d v="2016-01-17T00:00:00"/>
    <s v="David Wiener"/>
    <s v="Corporate"/>
    <x v="0"/>
    <x v="0"/>
    <x v="0"/>
    <n v="64.864000000000004"/>
  </r>
  <r>
    <d v="2016-01-19T00:00:00"/>
    <s v="Xylona Preis"/>
    <s v="Consumer"/>
    <x v="1"/>
    <x v="1"/>
    <x v="1"/>
    <n v="247.71600000000001"/>
  </r>
  <r>
    <d v="2016-02-13T00:00:00"/>
    <s v="Marina Lichtenstein"/>
    <s v="Corporate"/>
    <x v="0"/>
    <x v="2"/>
    <x v="2"/>
    <n v="81.96"/>
  </r>
  <r>
    <d v="2016-02-15T00:00:00"/>
    <s v="Michael Nguyen"/>
    <s v="Consumer"/>
    <x v="1"/>
    <x v="3"/>
    <x v="3"/>
    <n v="7.96"/>
  </r>
  <r>
    <d v="2016-03-01T00:00:00"/>
    <s v="Sam Craven"/>
    <s v="Consumer"/>
    <x v="1"/>
    <x v="3"/>
    <x v="4"/>
    <n v="176.77199999999999"/>
  </r>
  <r>
    <d v="2016-03-09T00:00:00"/>
    <s v="Filia McAdams"/>
    <s v="Corporate"/>
    <x v="2"/>
    <x v="4"/>
    <x v="5"/>
    <n v="146.76"/>
  </r>
  <r>
    <d v="2016-03-15T00:00:00"/>
    <s v="Bradley Nguyen"/>
    <s v="Consumer"/>
    <x v="1"/>
    <x v="5"/>
    <x v="6"/>
    <n v="93.78"/>
  </r>
  <r>
    <d v="2016-03-15T00:00:00"/>
    <s v="Mark Haberlin"/>
    <s v="Corporate"/>
    <x v="2"/>
    <x v="6"/>
    <x v="7"/>
    <n v="32.67"/>
  </r>
  <r>
    <d v="2016-03-29T00:00:00"/>
    <s v="Alex Avila"/>
    <s v="Consumer"/>
    <x v="0"/>
    <x v="7"/>
    <x v="8"/>
    <n v="52.98"/>
  </r>
  <r>
    <d v="2016-03-31T00:00:00"/>
    <s v="Rob Dowd"/>
    <s v="Consumer"/>
    <x v="2"/>
    <x v="8"/>
    <x v="9"/>
    <n v="154.9"/>
  </r>
  <r>
    <d v="2016-04-13T00:00:00"/>
    <s v="Paul Stevenson"/>
    <s v="Home Office"/>
    <x v="0"/>
    <x v="7"/>
    <x v="10"/>
    <n v="106.96"/>
  </r>
  <r>
    <d v="2016-04-23T00:00:00"/>
    <s v="Beth Thompson"/>
    <s v="Home Office"/>
    <x v="0"/>
    <x v="7"/>
    <x v="11"/>
    <n v="270.72000000000003"/>
  </r>
  <r>
    <d v="2016-04-30T00:00:00"/>
    <s v="Andrew Roberts"/>
    <s v="Consumer"/>
    <x v="3"/>
    <x v="9"/>
    <x v="12"/>
    <n v="26.135999999999999"/>
  </r>
  <r>
    <d v="2016-05-02T00:00:00"/>
    <s v="Bill Shonely"/>
    <s v="Corporate"/>
    <x v="0"/>
    <x v="2"/>
    <x v="2"/>
    <n v="57.68"/>
  </r>
  <r>
    <d v="2016-05-09T00:00:00"/>
    <s v="Brooke Gillingham"/>
    <s v="Corporate"/>
    <x v="3"/>
    <x v="10"/>
    <x v="13"/>
    <n v="35.909999999999997"/>
  </r>
  <r>
    <d v="2016-05-18T00:00:00"/>
    <s v="Randy Ferguson"/>
    <s v="Corporate"/>
    <x v="3"/>
    <x v="11"/>
    <x v="14"/>
    <n v="33.28"/>
  </r>
  <r>
    <d v="2016-05-19T00:00:00"/>
    <s v="Frank Gastineau"/>
    <s v="Home Office"/>
    <x v="3"/>
    <x v="12"/>
    <x v="15"/>
    <n v="245.88"/>
  </r>
  <r>
    <d v="2016-05-21T00:00:00"/>
    <s v="Greg Tran"/>
    <s v="Consumer"/>
    <x v="3"/>
    <x v="10"/>
    <x v="16"/>
    <n v="208.16"/>
  </r>
  <r>
    <d v="2016-05-23T00:00:00"/>
    <s v="Janet Lee"/>
    <s v="Consumer"/>
    <x v="1"/>
    <x v="13"/>
    <x v="17"/>
    <n v="75.599999999999994"/>
  </r>
  <r>
    <d v="2016-05-28T00:00:00"/>
    <s v="Laurel Workman"/>
    <s v="Corporate"/>
    <x v="3"/>
    <x v="10"/>
    <x v="16"/>
    <n v="235.95"/>
  </r>
  <r>
    <d v="2016-05-30T00:00:00"/>
    <s v="Dianna Wilson"/>
    <s v="Home Office"/>
    <x v="1"/>
    <x v="5"/>
    <x v="6"/>
    <n v="1503.25"/>
  </r>
  <r>
    <d v="2016-05-30T00:00:00"/>
    <s v="Quincy Jones"/>
    <s v="Corporate"/>
    <x v="1"/>
    <x v="1"/>
    <x v="18"/>
    <n v="65.52"/>
  </r>
  <r>
    <d v="2016-06-02T00:00:00"/>
    <s v="Bobby Trafton"/>
    <s v="Consumer"/>
    <x v="3"/>
    <x v="10"/>
    <x v="16"/>
    <n v="15.56"/>
  </r>
  <r>
    <d v="2016-06-07T00:00:00"/>
    <s v="Brosina Hoffman"/>
    <s v="Consumer"/>
    <x v="0"/>
    <x v="7"/>
    <x v="10"/>
    <n v="114.9"/>
  </r>
  <r>
    <d v="2016-06-18T00:00:00"/>
    <s v="Corey-Lock"/>
    <s v="Consumer"/>
    <x v="1"/>
    <x v="14"/>
    <x v="19"/>
    <n v="471.9"/>
  </r>
  <r>
    <d v="2016-06-19T00:00:00"/>
    <s v="Natalie Webber"/>
    <s v="Consumer"/>
    <x v="3"/>
    <x v="15"/>
    <x v="20"/>
    <n v="44.415999999999997"/>
  </r>
  <r>
    <d v="2016-06-19T00:00:00"/>
    <s v="Toby Braunhardt"/>
    <s v="Consumer"/>
    <x v="3"/>
    <x v="10"/>
    <x v="16"/>
    <n v="59.7"/>
  </r>
  <r>
    <d v="2016-07-02T00:00:00"/>
    <s v="Katrina Edelman"/>
    <s v="Corporate"/>
    <x v="0"/>
    <x v="16"/>
    <x v="21"/>
    <n v="32.432000000000002"/>
  </r>
  <r>
    <d v="2016-07-12T00:00:00"/>
    <s v="Shirley Schmidt"/>
    <s v="Home Office"/>
    <x v="3"/>
    <x v="17"/>
    <x v="22"/>
    <n v="39.479999999999997"/>
  </r>
  <r>
    <d v="2016-07-19T00:00:00"/>
    <s v="Harry Marie"/>
    <s v="Corporate"/>
    <x v="1"/>
    <x v="3"/>
    <x v="3"/>
    <n v="4.992"/>
  </r>
  <r>
    <d v="2016-07-24T00:00:00"/>
    <s v="Luke Foster"/>
    <s v="Consumer"/>
    <x v="1"/>
    <x v="3"/>
    <x v="23"/>
    <n v="4.8360000000000003"/>
  </r>
  <r>
    <d v="2016-07-30T00:00:00"/>
    <s v="Barbara Fisher"/>
    <s v="Corporate"/>
    <x v="2"/>
    <x v="18"/>
    <x v="24"/>
    <n v="62.92"/>
  </r>
  <r>
    <d v="2016-08-01T00:00:00"/>
    <s v="Bruce Stewart"/>
    <s v="Consumer"/>
    <x v="0"/>
    <x v="16"/>
    <x v="25"/>
    <n v="2.6"/>
  </r>
  <r>
    <d v="2016-08-02T00:00:00"/>
    <s v="Valerie Dominguez"/>
    <s v="Consumer"/>
    <x v="0"/>
    <x v="19"/>
    <x v="26"/>
    <n v="1089.75"/>
  </r>
  <r>
    <d v="2016-08-02T00:00:00"/>
    <s v="Marina Lichtenstein"/>
    <s v="Corporate"/>
    <x v="3"/>
    <x v="20"/>
    <x v="27"/>
    <n v="101.96"/>
  </r>
  <r>
    <d v="2016-08-03T00:00:00"/>
    <s v="Ricardo Sperren"/>
    <s v="Corporate"/>
    <x v="3"/>
    <x v="21"/>
    <x v="28"/>
    <n v="79.47"/>
  </r>
  <r>
    <d v="2016-08-06T00:00:00"/>
    <s v="Lena Radford"/>
    <s v="Consumer"/>
    <x v="0"/>
    <x v="7"/>
    <x v="29"/>
    <n v="76.12"/>
  </r>
  <r>
    <d v="2016-08-06T00:00:00"/>
    <s v="Matt Abelman"/>
    <s v="Home Office"/>
    <x v="1"/>
    <x v="1"/>
    <x v="30"/>
    <n v="167.535"/>
  </r>
  <r>
    <d v="2016-08-10T00:00:00"/>
    <s v="Duane Huffman"/>
    <s v="Home Office"/>
    <x v="2"/>
    <x v="22"/>
    <x v="31"/>
    <n v="211.24799999999999"/>
  </r>
  <r>
    <d v="2016-08-13T00:00:00"/>
    <s v="Christine Sundaresam"/>
    <s v="Consumer"/>
    <x v="2"/>
    <x v="22"/>
    <x v="32"/>
    <n v="152.24"/>
  </r>
  <r>
    <d v="2016-08-31T00:00:00"/>
    <s v="Justin MacKendrick"/>
    <s v="Consumer"/>
    <x v="3"/>
    <x v="10"/>
    <x v="13"/>
    <n v="19.899999999999999"/>
  </r>
  <r>
    <d v="2016-09-06T00:00:00"/>
    <s v="Becky Martin"/>
    <s v="Consumer"/>
    <x v="1"/>
    <x v="3"/>
    <x v="23"/>
    <n v="177.98"/>
  </r>
  <r>
    <d v="2016-09-06T00:00:00"/>
    <s v="Dennis Pardue"/>
    <s v="Home Office"/>
    <x v="0"/>
    <x v="7"/>
    <x v="8"/>
    <n v="56.65"/>
  </r>
  <r>
    <d v="2016-09-06T00:00:00"/>
    <s v="Stefania Perrino"/>
    <s v="Corporate"/>
    <x v="3"/>
    <x v="10"/>
    <x v="33"/>
    <n v="16.78"/>
  </r>
  <r>
    <d v="2016-09-08T00:00:00"/>
    <s v="Sandra Flanagan"/>
    <s v="Consumer"/>
    <x v="3"/>
    <x v="23"/>
    <x v="34"/>
    <n v="81.92"/>
  </r>
  <r>
    <d v="2016-09-10T00:00:00"/>
    <s v="Brad Norvell"/>
    <s v="Corporate"/>
    <x v="2"/>
    <x v="18"/>
    <x v="35"/>
    <n v="166.84"/>
  </r>
  <r>
    <d v="2016-09-11T00:00:00"/>
    <s v="Resi PÃ¶lking"/>
    <s v="Consumer"/>
    <x v="0"/>
    <x v="2"/>
    <x v="2"/>
    <n v="22.66"/>
  </r>
  <r>
    <d v="2016-09-12T00:00:00"/>
    <s v="Jennifer Braxton"/>
    <s v="Corporate"/>
    <x v="1"/>
    <x v="13"/>
    <x v="17"/>
    <n v="52.448"/>
  </r>
  <r>
    <d v="2016-09-12T00:00:00"/>
    <s v="Cynthia Arntzen"/>
    <s v="Consumer"/>
    <x v="2"/>
    <x v="22"/>
    <x v="36"/>
    <n v="13"/>
  </r>
  <r>
    <d v="2016-09-12T00:00:00"/>
    <s v="Darrin Martin"/>
    <s v="Consumer"/>
    <x v="3"/>
    <x v="10"/>
    <x v="16"/>
    <n v="601.29999999999995"/>
  </r>
  <r>
    <d v="2016-09-18T00:00:00"/>
    <s v="Michelle Arnett"/>
    <s v="Home Office"/>
    <x v="0"/>
    <x v="7"/>
    <x v="10"/>
    <n v="43.92"/>
  </r>
  <r>
    <d v="2016-09-18T00:00:00"/>
    <s v="Mitch Webber"/>
    <s v="Consumer"/>
    <x v="3"/>
    <x v="10"/>
    <x v="16"/>
    <n v="30.98"/>
  </r>
  <r>
    <d v="2016-09-19T00:00:00"/>
    <s v="Brian Moss"/>
    <s v="Corporate"/>
    <x v="1"/>
    <x v="24"/>
    <x v="37"/>
    <n v="25.96"/>
  </r>
  <r>
    <d v="2016-09-19T00:00:00"/>
    <s v="Brian Moss"/>
    <s v="Corporate"/>
    <x v="1"/>
    <x v="24"/>
    <x v="37"/>
    <n v="36.270000000000003"/>
  </r>
  <r>
    <d v="2016-09-24T00:00:00"/>
    <s v="Nicole Brennan"/>
    <s v="Corporate"/>
    <x v="3"/>
    <x v="15"/>
    <x v="20"/>
    <n v="143.952"/>
  </r>
  <r>
    <d v="2016-09-24T00:00:00"/>
    <s v="Craig Molinari"/>
    <s v="Corporate"/>
    <x v="3"/>
    <x v="15"/>
    <x v="20"/>
    <n v="41.375999999999998"/>
  </r>
  <r>
    <d v="2016-09-24T00:00:00"/>
    <s v="Dianna Arnett"/>
    <s v="Home Office"/>
    <x v="3"/>
    <x v="9"/>
    <x v="38"/>
    <n v="16.704000000000001"/>
  </r>
  <r>
    <d v="2016-09-28T00:00:00"/>
    <s v="Kelly Williams"/>
    <s v="Consumer"/>
    <x v="2"/>
    <x v="25"/>
    <x v="39"/>
    <n v="69.215999999999994"/>
  </r>
  <r>
    <d v="2016-09-28T00:00:00"/>
    <s v="Dario Medina"/>
    <s v="Corporate"/>
    <x v="3"/>
    <x v="9"/>
    <x v="40"/>
    <n v="795.40800000000002"/>
  </r>
  <r>
    <d v="2016-10-03T00:00:00"/>
    <s v="Brian Derr"/>
    <s v="Consumer"/>
    <x v="3"/>
    <x v="9"/>
    <x v="12"/>
    <n v="91.92"/>
  </r>
  <r>
    <d v="2016-10-11T00:00:00"/>
    <s v="Zuschuss Carroll"/>
    <s v="Consumer"/>
    <x v="0"/>
    <x v="2"/>
    <x v="41"/>
    <n v="213.92"/>
  </r>
  <r>
    <d v="2016-10-12T00:00:00"/>
    <s v="Hunter Glantz"/>
    <s v="Consumer"/>
    <x v="1"/>
    <x v="3"/>
    <x v="42"/>
    <n v="3.16"/>
  </r>
  <r>
    <d v="2016-10-19T00:00:00"/>
    <s v="Tracy Blumstein"/>
    <s v="Consumer"/>
    <x v="3"/>
    <x v="9"/>
    <x v="40"/>
    <n v="121.792"/>
  </r>
  <r>
    <d v="2016-10-30T00:00:00"/>
    <s v="Daniel Lacy"/>
    <s v="Consumer"/>
    <x v="3"/>
    <x v="10"/>
    <x v="33"/>
    <n v="533.94000000000005"/>
  </r>
  <r>
    <d v="2016-10-30T00:00:00"/>
    <s v="Deirdre Greer"/>
    <s v="Corporate"/>
    <x v="3"/>
    <x v="23"/>
    <x v="43"/>
    <n v="76.12"/>
  </r>
  <r>
    <d v="2016-11-02T00:00:00"/>
    <s v="Odella Nelson"/>
    <s v="Corporate"/>
    <x v="2"/>
    <x v="18"/>
    <x v="35"/>
    <n v="58.24"/>
  </r>
  <r>
    <d v="2016-11-05T00:00:00"/>
    <s v="Maribeth Schnelling"/>
    <s v="Consumer"/>
    <x v="1"/>
    <x v="26"/>
    <x v="44"/>
    <n v="245.88"/>
  </r>
  <r>
    <d v="2016-11-09T00:00:00"/>
    <s v="Matt Abelman"/>
    <s v="Home Office"/>
    <x v="0"/>
    <x v="7"/>
    <x v="10"/>
    <n v="7.78"/>
  </r>
  <r>
    <d v="2016-11-09T00:00:00"/>
    <s v="Mary Zewe"/>
    <s v="Corporate"/>
    <x v="0"/>
    <x v="2"/>
    <x v="2"/>
    <n v="22.98"/>
  </r>
  <r>
    <d v="2016-11-13T00:00:00"/>
    <s v="Jamie Frazer"/>
    <s v="Consumer"/>
    <x v="2"/>
    <x v="25"/>
    <x v="45"/>
    <n v="333.05599999999998"/>
  </r>
  <r>
    <d v="2016-11-15T00:00:00"/>
    <s v="Thomas Seio"/>
    <s v="Corporate"/>
    <x v="0"/>
    <x v="7"/>
    <x v="8"/>
    <n v="241.44"/>
  </r>
  <r>
    <d v="2016-11-20T00:00:00"/>
    <s v="Ruben Ausman"/>
    <s v="Corporate"/>
    <x v="2"/>
    <x v="8"/>
    <x v="12"/>
    <n v="675.12"/>
  </r>
  <r>
    <d v="2016-11-21T00:00:00"/>
    <s v="Saphhira Shifley"/>
    <s v="Corporate"/>
    <x v="1"/>
    <x v="3"/>
    <x v="46"/>
    <n v="34.176000000000002"/>
  </r>
  <r>
    <d v="2016-11-23T00:00:00"/>
    <s v="Laurel Workman"/>
    <s v="Corporate"/>
    <x v="0"/>
    <x v="7"/>
    <x v="47"/>
    <n v="320.88"/>
  </r>
  <r>
    <d v="2016-11-24T00:00:00"/>
    <s v="Luke Schmidt"/>
    <s v="Corporate"/>
    <x v="0"/>
    <x v="7"/>
    <x v="48"/>
    <n v="40.54"/>
  </r>
  <r>
    <d v="2016-11-26T00:00:00"/>
    <s v="Sheri Gordon"/>
    <s v="Consumer"/>
    <x v="0"/>
    <x v="7"/>
    <x v="8"/>
    <n v="43.68"/>
  </r>
  <r>
    <d v="2016-11-30T00:00:00"/>
    <s v="Matt Collins"/>
    <s v="Consumer"/>
    <x v="1"/>
    <x v="13"/>
    <x v="17"/>
    <n v="2.3940000000000001"/>
  </r>
  <r>
    <d v="2016-12-03T00:00:00"/>
    <s v="Joni Blumstein"/>
    <s v="Consumer"/>
    <x v="0"/>
    <x v="7"/>
    <x v="10"/>
    <n v="250.26"/>
  </r>
  <r>
    <d v="2016-12-04T00:00:00"/>
    <s v="Berenike Kampe"/>
    <s v="Consumer"/>
    <x v="1"/>
    <x v="13"/>
    <x v="17"/>
    <n v="14.016"/>
  </r>
  <r>
    <d v="2016-12-07T00:00:00"/>
    <s v="Thomas Seio"/>
    <s v="Corporate"/>
    <x v="1"/>
    <x v="13"/>
    <x v="17"/>
    <n v="20.388000000000002"/>
  </r>
  <r>
    <d v="2016-12-18T00:00:00"/>
    <s v="Tony Sayre"/>
    <s v="Consumer"/>
    <x v="2"/>
    <x v="25"/>
    <x v="49"/>
    <n v="43.512"/>
  </r>
  <r>
    <d v="2016-12-18T00:00:00"/>
    <s v="William Brown"/>
    <s v="Consumer"/>
    <x v="1"/>
    <x v="3"/>
    <x v="50"/>
    <n v="19.431999999999999"/>
  </r>
  <r>
    <d v="2016-12-21T00:00:00"/>
    <s v="Sarah Foster"/>
    <s v="Consumer"/>
    <x v="1"/>
    <x v="27"/>
    <x v="5"/>
    <n v="207.24"/>
  </r>
  <r>
    <d v="2016-12-21T00:00:00"/>
    <s v="Tiffany House"/>
    <s v="Corporate"/>
    <x v="3"/>
    <x v="10"/>
    <x v="16"/>
    <n v="56.52"/>
  </r>
  <r>
    <d v="2016-12-22T00:00:00"/>
    <s v="Ben Ferrer"/>
    <s v="Home Office"/>
    <x v="0"/>
    <x v="7"/>
    <x v="10"/>
    <n v="361.96"/>
  </r>
  <r>
    <d v="2016-12-22T00:00:00"/>
    <s v="Adam Shillingsburg"/>
    <s v="Consumer"/>
    <x v="0"/>
    <x v="7"/>
    <x v="29"/>
    <n v="13.97"/>
  </r>
  <r>
    <d v="2016-12-24T00:00:00"/>
    <s v="Maureen Gnade"/>
    <s v="Consumer"/>
    <x v="3"/>
    <x v="15"/>
    <x v="20"/>
    <n v="34.655999999999999"/>
  </r>
  <r>
    <d v="2016-12-24T00:00:00"/>
    <s v="Maureen Gnade"/>
    <s v="Consumer"/>
    <x v="3"/>
    <x v="15"/>
    <x v="20"/>
    <n v="81.552000000000007"/>
  </r>
  <r>
    <d v="2016-12-25T00:00:00"/>
    <s v="Cynthia Delaney"/>
    <s v="Home Office"/>
    <x v="0"/>
    <x v="7"/>
    <x v="51"/>
    <n v="10.98"/>
  </r>
  <r>
    <d v="2016-12-26T00:00:00"/>
    <s v="Anthony Jacobs"/>
    <s v="Corporate"/>
    <x v="3"/>
    <x v="12"/>
    <x v="52"/>
    <n v="1737.18"/>
  </r>
  <r>
    <d v="2016-12-27T00:00:00"/>
    <s v="Ricardo Emerson"/>
    <s v="Consumer"/>
    <x v="3"/>
    <x v="9"/>
    <x v="53"/>
    <n v="48.36"/>
  </r>
  <r>
    <d v="2016-12-28T00:00:00"/>
    <s v="Astrea Jones"/>
    <s v="Consumer"/>
    <x v="3"/>
    <x v="10"/>
    <x v="16"/>
    <n v="122.94"/>
  </r>
  <r>
    <d v="2017-01-03T00:00:00"/>
    <s v="James Lanier"/>
    <s v="Home Office"/>
    <x v="0"/>
    <x v="7"/>
    <x v="8"/>
    <n v="87.36"/>
  </r>
  <r>
    <d v="2017-01-07T00:00:00"/>
    <s v="Craig Carroll"/>
    <s v="Consumer"/>
    <x v="2"/>
    <x v="4"/>
    <x v="54"/>
    <n v="163.44"/>
  </r>
  <r>
    <d v="2017-02-13T00:00:00"/>
    <s v="Justin MacKendrick"/>
    <s v="Consumer"/>
    <x v="0"/>
    <x v="7"/>
    <x v="10"/>
    <n v="541.44000000000005"/>
  </r>
  <r>
    <d v="2017-02-21T00:00:00"/>
    <s v="Lindsay Castell"/>
    <s v="Home Office"/>
    <x v="3"/>
    <x v="10"/>
    <x v="16"/>
    <n v="26.88"/>
  </r>
  <r>
    <d v="2017-02-28T00:00:00"/>
    <s v="Resi PÃ¶lking"/>
    <s v="Consumer"/>
    <x v="3"/>
    <x v="15"/>
    <x v="20"/>
    <n v="3.552"/>
  </r>
  <r>
    <d v="2017-03-04T00:00:00"/>
    <s v="Sarah Foster"/>
    <s v="Consumer"/>
    <x v="1"/>
    <x v="27"/>
    <x v="55"/>
    <n v="60.69"/>
  </r>
  <r>
    <d v="2017-03-04T00:00:00"/>
    <s v="Maribeth Schnelling"/>
    <s v="Consumer"/>
    <x v="1"/>
    <x v="13"/>
    <x v="17"/>
    <n v="180.98"/>
  </r>
  <r>
    <d v="2017-03-20T00:00:00"/>
    <s v="Julia West"/>
    <s v="Consumer"/>
    <x v="2"/>
    <x v="18"/>
    <x v="56"/>
    <n v="962.08"/>
  </r>
  <r>
    <d v="2017-03-23T00:00:00"/>
    <s v="Ben Peterman"/>
    <s v="Corporate"/>
    <x v="2"/>
    <x v="22"/>
    <x v="57"/>
    <n v="6.992"/>
  </r>
  <r>
    <d v="2017-03-28T00:00:00"/>
    <s v="Denny Ordway"/>
    <s v="Consumer"/>
    <x v="0"/>
    <x v="2"/>
    <x v="2"/>
    <n v="73.28"/>
  </r>
  <r>
    <d v="2017-04-01T00:00:00"/>
    <s v="Michael Oakman"/>
    <s v="Consumer"/>
    <x v="1"/>
    <x v="3"/>
    <x v="3"/>
    <n v="32.192"/>
  </r>
  <r>
    <d v="2017-04-03T00:00:00"/>
    <s v="Nat Carroll"/>
    <s v="Consumer"/>
    <x v="1"/>
    <x v="1"/>
    <x v="58"/>
    <n v="644.07600000000002"/>
  </r>
  <r>
    <d v="2017-04-04T00:00:00"/>
    <s v="Valerie Takahito"/>
    <s v="Home Office"/>
    <x v="3"/>
    <x v="15"/>
    <x v="20"/>
    <n v="98.111999999999995"/>
  </r>
  <r>
    <d v="2017-04-06T00:00:00"/>
    <s v="Peter Fuller"/>
    <s v="Consumer"/>
    <x v="1"/>
    <x v="3"/>
    <x v="23"/>
    <n v="463.24799999999999"/>
  </r>
  <r>
    <d v="2017-04-08T00:00:00"/>
    <s v="Ivan Gibson"/>
    <s v="Consumer"/>
    <x v="3"/>
    <x v="21"/>
    <x v="59"/>
    <n v="370.14"/>
  </r>
  <r>
    <d v="2017-04-10T00:00:00"/>
    <s v="Sanjit Engle"/>
    <s v="Consumer"/>
    <x v="3"/>
    <x v="10"/>
    <x v="16"/>
    <n v="406.6"/>
  </r>
  <r>
    <d v="2017-04-12T00:00:00"/>
    <s v="Bill Tyler"/>
    <s v="Corporate"/>
    <x v="0"/>
    <x v="7"/>
    <x v="10"/>
    <n v="75.84"/>
  </r>
  <r>
    <d v="2017-04-13T00:00:00"/>
    <s v="Theone Pippenger"/>
    <s v="Consumer"/>
    <x v="0"/>
    <x v="0"/>
    <x v="0"/>
    <n v="35.207999999999998"/>
  </r>
  <r>
    <d v="2017-04-15T00:00:00"/>
    <s v="Theresa Swint"/>
    <s v="Corporate"/>
    <x v="3"/>
    <x v="9"/>
    <x v="60"/>
    <n v="45.216000000000001"/>
  </r>
  <r>
    <d v="2017-04-16T00:00:00"/>
    <s v="George Ashbrook"/>
    <s v="Consumer"/>
    <x v="0"/>
    <x v="7"/>
    <x v="8"/>
    <n v="1447.65"/>
  </r>
  <r>
    <d v="2017-04-18T00:00:00"/>
    <s v="Patrick Gardner"/>
    <s v="Consumer"/>
    <x v="1"/>
    <x v="3"/>
    <x v="61"/>
    <n v="19.568000000000001"/>
  </r>
  <r>
    <d v="2017-04-24T00:00:00"/>
    <s v="John Lucas"/>
    <s v="Consumer"/>
    <x v="3"/>
    <x v="10"/>
    <x v="16"/>
    <n v="206.43"/>
  </r>
  <r>
    <d v="2017-04-24T00:00:00"/>
    <s v="Trudy Schmidt"/>
    <s v="Consumer"/>
    <x v="1"/>
    <x v="26"/>
    <x v="62"/>
    <n v="272.39999999999998"/>
  </r>
  <r>
    <d v="2017-04-26T00:00:00"/>
    <s v="Tony Chapman"/>
    <s v="Home Office"/>
    <x v="0"/>
    <x v="16"/>
    <x v="21"/>
    <n v="43.56"/>
  </r>
  <r>
    <d v="2017-04-27T00:00:00"/>
    <s v="Russell Applegate"/>
    <s v="Consumer"/>
    <x v="1"/>
    <x v="3"/>
    <x v="4"/>
    <n v="8.6519999999999992"/>
  </r>
  <r>
    <d v="2017-04-27T00:00:00"/>
    <s v="Shirley Daniels"/>
    <s v="Home Office"/>
    <x v="1"/>
    <x v="1"/>
    <x v="63"/>
    <n v="186.732"/>
  </r>
  <r>
    <d v="2017-05-02T00:00:00"/>
    <s v="Stewart Visinsky"/>
    <s v="Consumer"/>
    <x v="3"/>
    <x v="15"/>
    <x v="20"/>
    <n v="23.696000000000002"/>
  </r>
  <r>
    <d v="2017-05-02T00:00:00"/>
    <s v="Stewart Visinsky"/>
    <s v="Consumer"/>
    <x v="3"/>
    <x v="15"/>
    <x v="20"/>
    <n v="18.2"/>
  </r>
  <r>
    <d v="2017-05-09T00:00:00"/>
    <s v="Dennis Pardue"/>
    <s v="Home Office"/>
    <x v="1"/>
    <x v="13"/>
    <x v="21"/>
    <n v="70.97"/>
  </r>
  <r>
    <d v="2017-05-20T00:00:00"/>
    <s v="Joel Eaton"/>
    <s v="Consumer"/>
    <x v="1"/>
    <x v="13"/>
    <x v="64"/>
    <n v="20.768000000000001"/>
  </r>
  <r>
    <d v="2017-05-22T00:00:00"/>
    <s v="Emily Burns"/>
    <s v="Consumer"/>
    <x v="0"/>
    <x v="28"/>
    <x v="65"/>
    <n v="121.792"/>
  </r>
  <r>
    <d v="2017-05-22T00:00:00"/>
    <s v="Nathan Mautz"/>
    <s v="Home Office"/>
    <x v="1"/>
    <x v="1"/>
    <x v="18"/>
    <n v="850.5"/>
  </r>
  <r>
    <d v="2017-05-24T00:00:00"/>
    <s v="Justin Hirsh"/>
    <s v="Consumer"/>
    <x v="0"/>
    <x v="16"/>
    <x v="66"/>
    <n v="845.72799999999995"/>
  </r>
  <r>
    <d v="2017-05-29T00:00:00"/>
    <s v="Edward Nazzal"/>
    <s v="Consumer"/>
    <x v="3"/>
    <x v="10"/>
    <x v="16"/>
    <n v="160.32"/>
  </r>
  <r>
    <d v="2017-06-07T00:00:00"/>
    <s v="Maureen Gnade"/>
    <s v="Consumer"/>
    <x v="1"/>
    <x v="13"/>
    <x v="17"/>
    <n v="143.12799999999999"/>
  </r>
  <r>
    <d v="2017-07-01T00:00:00"/>
    <s v="Richard Bierner"/>
    <s v="Consumer"/>
    <x v="1"/>
    <x v="3"/>
    <x v="4"/>
    <n v="32.783999999999999"/>
  </r>
  <r>
    <d v="2017-07-08T00:00:00"/>
    <s v="Kean Nguyen"/>
    <s v="Corporate"/>
    <x v="1"/>
    <x v="3"/>
    <x v="3"/>
    <n v="48.631999999999998"/>
  </r>
  <r>
    <d v="2017-07-22T00:00:00"/>
    <s v="Tracy Hopkins"/>
    <s v="Home Office"/>
    <x v="3"/>
    <x v="10"/>
    <x v="16"/>
    <n v="68.94"/>
  </r>
  <r>
    <d v="2017-08-06T00:00:00"/>
    <s v="Noel Staavos"/>
    <s v="Corporate"/>
    <x v="3"/>
    <x v="29"/>
    <x v="67"/>
    <n v="77.58"/>
  </r>
  <r>
    <d v="2017-08-07T00:00:00"/>
    <s v="Denny Blanton"/>
    <s v="Consumer"/>
    <x v="3"/>
    <x v="12"/>
    <x v="15"/>
    <n v="113.92"/>
  </r>
  <r>
    <d v="2017-08-09T00:00:00"/>
    <s v="William Brown"/>
    <s v="Consumer"/>
    <x v="0"/>
    <x v="0"/>
    <x v="68"/>
    <n v="133.47200000000001"/>
  </r>
  <r>
    <d v="2017-08-22T00:00:00"/>
    <s v="Tamara Dahlen"/>
    <s v="Consumer"/>
    <x v="1"/>
    <x v="13"/>
    <x v="69"/>
    <n v="5.7679999999999998"/>
  </r>
  <r>
    <d v="2017-08-22T00:00:00"/>
    <s v="Fred Harton"/>
    <s v="Consumer"/>
    <x v="2"/>
    <x v="8"/>
    <x v="70"/>
    <n v="542.94000000000005"/>
  </r>
  <r>
    <d v="2017-08-22T00:00:00"/>
    <s v="Fred Harton"/>
    <s v="Consumer"/>
    <x v="2"/>
    <x v="8"/>
    <x v="70"/>
    <n v="25.86"/>
  </r>
  <r>
    <d v="2017-08-24T00:00:00"/>
    <s v="Nancy Lomonaco"/>
    <s v="Home Office"/>
    <x v="0"/>
    <x v="7"/>
    <x v="10"/>
    <n v="105.96"/>
  </r>
  <r>
    <d v="2017-09-02T00:00:00"/>
    <s v="Jennifer Braxton"/>
    <s v="Corporate"/>
    <x v="3"/>
    <x v="21"/>
    <x v="71"/>
    <n v="137.62"/>
  </r>
  <r>
    <d v="2017-09-05T00:00:00"/>
    <s v="Brendan Sweed"/>
    <s v="Corporate"/>
    <x v="3"/>
    <x v="10"/>
    <x v="16"/>
    <n v="8.39"/>
  </r>
  <r>
    <d v="2017-09-09T00:00:00"/>
    <s v="Edward Hooks"/>
    <s v="Corporate"/>
    <x v="3"/>
    <x v="12"/>
    <x v="72"/>
    <n v="61.96"/>
  </r>
  <r>
    <d v="2017-09-10T00:00:00"/>
    <s v="Skye Norling"/>
    <s v="Home Office"/>
    <x v="3"/>
    <x v="23"/>
    <x v="73"/>
    <n v="111.04"/>
  </r>
  <r>
    <d v="2017-09-21T00:00:00"/>
    <s v="Muhammed MacIntyre"/>
    <s v="Corporate"/>
    <x v="0"/>
    <x v="7"/>
    <x v="10"/>
    <n v="61.44"/>
  </r>
  <r>
    <d v="2017-09-23T00:00:00"/>
    <s v="Shaun Chance"/>
    <s v="Corporate"/>
    <x v="0"/>
    <x v="7"/>
    <x v="10"/>
    <n v="1158.1199999999999"/>
  </r>
  <r>
    <d v="2017-09-25T00:00:00"/>
    <s v="Rick Wilson"/>
    <s v="Corporate"/>
    <x v="0"/>
    <x v="28"/>
    <x v="74"/>
    <n v="60.671999999999997"/>
  </r>
  <r>
    <d v="2017-09-27T00:00:00"/>
    <s v="Henry Goldwyn"/>
    <s v="Corporate"/>
    <x v="0"/>
    <x v="7"/>
    <x v="8"/>
    <n v="43.26"/>
  </r>
  <r>
    <d v="2017-09-27T00:00:00"/>
    <s v="Henry Goldwyn"/>
    <s v="Corporate"/>
    <x v="0"/>
    <x v="7"/>
    <x v="8"/>
    <n v="43.56"/>
  </r>
  <r>
    <d v="2017-09-27T00:00:00"/>
    <s v="Jennifer Jackson"/>
    <s v="Consumer"/>
    <x v="3"/>
    <x v="10"/>
    <x v="16"/>
    <n v="293.52"/>
  </r>
  <r>
    <d v="2017-09-27T00:00:00"/>
    <s v="Roy Phan"/>
    <s v="Corporate"/>
    <x v="0"/>
    <x v="7"/>
    <x v="10"/>
    <n v="186.15"/>
  </r>
  <r>
    <d v="2017-10-04T00:00:00"/>
    <s v="Joel Jenkins"/>
    <s v="Home Office"/>
    <x v="2"/>
    <x v="30"/>
    <x v="0"/>
    <n v="28.84"/>
  </r>
  <r>
    <d v="2017-10-08T00:00:00"/>
    <s v="Brian Moss"/>
    <s v="Corporate"/>
    <x v="1"/>
    <x v="1"/>
    <x v="75"/>
    <n v="29.402999999999999"/>
  </r>
  <r>
    <d v="2017-10-08T00:00:00"/>
    <s v="Fred McMath"/>
    <s v="Consumer"/>
    <x v="1"/>
    <x v="1"/>
    <x v="18"/>
    <n v="269.91000000000003"/>
  </r>
  <r>
    <d v="2017-10-17T00:00:00"/>
    <s v="Kristina Nunn"/>
    <s v="Home Office"/>
    <x v="1"/>
    <x v="3"/>
    <x v="76"/>
    <n v="73.164000000000001"/>
  </r>
  <r>
    <d v="2017-10-18T00:00:00"/>
    <s v="Robert Marley"/>
    <s v="Home Office"/>
    <x v="0"/>
    <x v="7"/>
    <x v="10"/>
    <n v="1640.7"/>
  </r>
  <r>
    <d v="2017-10-25T00:00:00"/>
    <s v="Kristen Hastings"/>
    <s v="Corporate"/>
    <x v="0"/>
    <x v="0"/>
    <x v="0"/>
    <n v="203.88"/>
  </r>
  <r>
    <d v="2017-10-29T00:00:00"/>
    <s v="Thomas Thornton"/>
    <s v="Consumer"/>
    <x v="2"/>
    <x v="30"/>
    <x v="77"/>
    <n v="182.91"/>
  </r>
  <r>
    <d v="2017-11-01T00:00:00"/>
    <s v="Emily Grady"/>
    <s v="Consumer"/>
    <x v="2"/>
    <x v="30"/>
    <x v="78"/>
    <n v="197.72"/>
  </r>
  <r>
    <d v="2017-11-04T00:00:00"/>
    <s v="Valerie Dominguez"/>
    <s v="Consumer"/>
    <x v="2"/>
    <x v="22"/>
    <x v="57"/>
    <n v="387.13600000000002"/>
  </r>
  <r>
    <d v="2017-11-07T00:00:00"/>
    <s v="Rob Haberlin"/>
    <s v="Consumer"/>
    <x v="2"/>
    <x v="30"/>
    <x v="79"/>
    <n v="44.43"/>
  </r>
  <r>
    <d v="2017-11-09T00:00:00"/>
    <s v="Philisse Overcash"/>
    <s v="Home Office"/>
    <x v="1"/>
    <x v="5"/>
    <x v="80"/>
    <n v="715.64"/>
  </r>
  <r>
    <d v="2017-11-10T00:00:00"/>
    <s v="Andrew Gjertsen"/>
    <s v="Corporate"/>
    <x v="1"/>
    <x v="1"/>
    <x v="18"/>
    <n v="123.858"/>
  </r>
  <r>
    <d v="2017-11-13T00:00:00"/>
    <s v="Patrick Jones"/>
    <s v="Corporate"/>
    <x v="2"/>
    <x v="30"/>
    <x v="0"/>
    <n v="826.11"/>
  </r>
  <r>
    <d v="2017-11-15T00:00:00"/>
    <s v="Philisse Overcash"/>
    <s v="Home Office"/>
    <x v="3"/>
    <x v="10"/>
    <x v="16"/>
    <n v="523.25"/>
  </r>
  <r>
    <d v="2017-11-18T00:00:00"/>
    <s v="Aleksandra Gannaway"/>
    <s v="Corporate"/>
    <x v="0"/>
    <x v="31"/>
    <x v="81"/>
    <n v="31.08"/>
  </r>
  <r>
    <d v="2017-11-20T00:00:00"/>
    <s v="Denise Leinenbach"/>
    <s v="Consumer"/>
    <x v="1"/>
    <x v="27"/>
    <x v="15"/>
    <n v="19.75"/>
  </r>
  <r>
    <d v="2017-11-20T00:00:00"/>
    <s v="Eudokia Martin"/>
    <s v="Corporate"/>
    <x v="0"/>
    <x v="28"/>
    <x v="65"/>
    <n v="325.63200000000001"/>
  </r>
  <r>
    <d v="2017-11-20T00:00:00"/>
    <s v="Brenda Bowman"/>
    <s v="Corporate"/>
    <x v="1"/>
    <x v="3"/>
    <x v="42"/>
    <n v="24.588000000000001"/>
  </r>
  <r>
    <d v="2017-11-21T00:00:00"/>
    <s v="Harold Pawlan"/>
    <s v="Home Office"/>
    <x v="1"/>
    <x v="3"/>
    <x v="42"/>
    <n v="68.81"/>
  </r>
  <r>
    <d v="2017-11-22T00:00:00"/>
    <s v="Annie Thurman"/>
    <s v="Consumer"/>
    <x v="3"/>
    <x v="23"/>
    <x v="82"/>
    <n v="2625.12"/>
  </r>
  <r>
    <d v="2017-11-27T00:00:00"/>
    <s v="Ashley Jarboe"/>
    <s v="Consumer"/>
    <x v="0"/>
    <x v="7"/>
    <x v="8"/>
    <n v="45.28"/>
  </r>
  <r>
    <d v="2017-11-28T00:00:00"/>
    <s v="Sylvia Foulston"/>
    <s v="Corporate"/>
    <x v="1"/>
    <x v="1"/>
    <x v="83"/>
    <n v="555.21"/>
  </r>
  <r>
    <d v="2017-11-29T00:00:00"/>
    <s v="Lena Radford"/>
    <s v="Consumer"/>
    <x v="2"/>
    <x v="18"/>
    <x v="84"/>
    <n v="98.352000000000004"/>
  </r>
  <r>
    <d v="2017-12-05T00:00:00"/>
    <s v="Art Ferguson"/>
    <s v="Consumer"/>
    <x v="0"/>
    <x v="7"/>
    <x v="8"/>
    <n v="7.78"/>
  </r>
  <r>
    <d v="2017-12-06T00:00:00"/>
    <s v="Darren Koutras"/>
    <s v="Consumer"/>
    <x v="2"/>
    <x v="4"/>
    <x v="54"/>
    <n v="152.94"/>
  </r>
  <r>
    <d v="2017-12-09T00:00:00"/>
    <s v="Julia West"/>
    <s v="Consumer"/>
    <x v="1"/>
    <x v="13"/>
    <x v="17"/>
    <n v="53.088000000000001"/>
  </r>
  <r>
    <d v="2017-12-12T00:00:00"/>
    <s v="Rachel Payne"/>
    <s v="Corporate"/>
    <x v="0"/>
    <x v="7"/>
    <x v="85"/>
    <n v="134.47999999999999"/>
  </r>
  <r>
    <d v="2017-12-14T00:00:00"/>
    <s v="Joseph Holt"/>
    <s v="Consumer"/>
    <x v="0"/>
    <x v="2"/>
    <x v="2"/>
    <n v="103.92"/>
  </r>
  <r>
    <d v="2017-12-18T00:00:00"/>
    <s v="Jay Kimmel"/>
    <s v="Consumer"/>
    <x v="3"/>
    <x v="15"/>
    <x v="20"/>
    <n v="434.35199999999998"/>
  </r>
  <r>
    <d v="2017-12-18T00:00:00"/>
    <s v="Jay Kimmel"/>
    <s v="Consumer"/>
    <x v="3"/>
    <x v="15"/>
    <x v="20"/>
    <n v="3.552"/>
  </r>
  <r>
    <d v="2017-12-18T00:00:00"/>
    <s v="Jay Kimmel"/>
    <s v="Consumer"/>
    <x v="3"/>
    <x v="15"/>
    <x v="20"/>
    <n v="88.831999999999994"/>
  </r>
  <r>
    <d v="2017-12-19T00:00:00"/>
    <s v="John Murray"/>
    <s v="Consumer"/>
    <x v="2"/>
    <x v="30"/>
    <x v="86"/>
    <n v="36.270000000000003"/>
  </r>
  <r>
    <d v="2017-12-20T00:00:00"/>
    <s v="Elpida Rittenbach"/>
    <s v="Corporate"/>
    <x v="0"/>
    <x v="16"/>
    <x v="87"/>
    <n v="60.984000000000002"/>
  </r>
  <r>
    <d v="2017-12-22T00:00:00"/>
    <s v="Bradley Drucker"/>
    <s v="Consumer"/>
    <x v="2"/>
    <x v="30"/>
    <x v="5"/>
    <n v="194.32"/>
  </r>
  <r>
    <d v="2017-12-24T00:00:00"/>
    <s v="Jim Kriz"/>
    <s v="Home Office"/>
    <x v="3"/>
    <x v="10"/>
    <x v="16"/>
    <n v="414.96"/>
  </r>
  <r>
    <d v="2017-12-26T00:00:00"/>
    <s v="Brad Thomas"/>
    <s v="Home Office"/>
    <x v="3"/>
    <x v="29"/>
    <x v="88"/>
    <n v="355.96"/>
  </r>
  <r>
    <d v="2017-12-26T00:00:00"/>
    <s v="Arthur Gainer"/>
    <s v="Consumer"/>
    <x v="0"/>
    <x v="7"/>
    <x v="10"/>
    <n v="106.96"/>
  </r>
  <r>
    <d v="2018-01-21T00:00:00"/>
    <s v="Carlos Meador"/>
    <s v="Consumer"/>
    <x v="2"/>
    <x v="18"/>
    <x v="89"/>
    <n v="64.864000000000004"/>
  </r>
  <r>
    <d v="2018-02-15T00:00:00"/>
    <s v="Erin Ashbrook"/>
    <s v="Corporate"/>
    <x v="1"/>
    <x v="13"/>
    <x v="17"/>
    <n v="92.063999999999993"/>
  </r>
  <r>
    <d v="2018-02-21T00:00:00"/>
    <s v="Paul Van Hugh"/>
    <s v="Home Office"/>
    <x v="1"/>
    <x v="26"/>
    <x v="62"/>
    <n v="490.32"/>
  </r>
  <r>
    <d v="2018-02-26T00:00:00"/>
    <s v="Dan Lawera"/>
    <s v="Consumer"/>
    <x v="3"/>
    <x v="10"/>
    <x v="16"/>
    <n v="170.88"/>
  </r>
  <r>
    <d v="2018-03-05T00:00:00"/>
    <s v="Lena Cacioppo"/>
    <s v="Consumer"/>
    <x v="1"/>
    <x v="13"/>
    <x v="17"/>
    <n v="2.3340000000000001"/>
  </r>
  <r>
    <d v="2018-03-07T00:00:00"/>
    <s v="Stephanie Phelps"/>
    <s v="Corporate"/>
    <x v="1"/>
    <x v="1"/>
    <x v="7"/>
    <n v="207.14400000000001"/>
  </r>
  <r>
    <d v="2018-03-11T00:00:00"/>
    <s v="Dean Katz"/>
    <s v="Corporate"/>
    <x v="0"/>
    <x v="7"/>
    <x v="8"/>
    <n v="154.9"/>
  </r>
  <r>
    <d v="2018-03-12T00:00:00"/>
    <s v="Tamara Willingham"/>
    <s v="Home Office"/>
    <x v="0"/>
    <x v="28"/>
    <x v="90"/>
    <n v="157.91999999999999"/>
  </r>
  <r>
    <d v="2018-03-12T00:00:00"/>
    <s v="Adam Bellavance"/>
    <s v="Home Office"/>
    <x v="2"/>
    <x v="30"/>
    <x v="91"/>
    <n v="160.32"/>
  </r>
  <r>
    <d v="2018-03-16T00:00:00"/>
    <s v="Gary Zandusky"/>
    <s v="Consumer"/>
    <x v="3"/>
    <x v="29"/>
    <x v="49"/>
    <n v="901.95"/>
  </r>
  <r>
    <d v="2018-03-17T00:00:00"/>
    <s v="Dave Brooks"/>
    <s v="Consumer"/>
    <x v="2"/>
    <x v="25"/>
    <x v="49"/>
    <n v="871.8"/>
  </r>
  <r>
    <d v="2018-03-31T00:00:00"/>
    <s v="Barry Blumstein"/>
    <s v="Corporate"/>
    <x v="0"/>
    <x v="28"/>
    <x v="92"/>
    <n v="30.143999999999998"/>
  </r>
  <r>
    <d v="2018-04-09T00:00:00"/>
    <s v="Brian Thompson"/>
    <s v="Consumer"/>
    <x v="0"/>
    <x v="7"/>
    <x v="8"/>
    <n v="113.76"/>
  </r>
  <r>
    <d v="2018-04-17T00:00:00"/>
    <s v="Roy FranzÃ¶sisch"/>
    <s v="Consumer"/>
    <x v="2"/>
    <x v="30"/>
    <x v="78"/>
    <n v="203.92"/>
  </r>
  <r>
    <d v="2018-04-20T00:00:00"/>
    <s v="Sibella Parks"/>
    <s v="Corporate"/>
    <x v="1"/>
    <x v="13"/>
    <x v="17"/>
    <n v="48.792000000000002"/>
  </r>
  <r>
    <d v="2018-04-21T00:00:00"/>
    <s v="Tanja Norvell"/>
    <s v="Home Office"/>
    <x v="0"/>
    <x v="28"/>
    <x v="65"/>
    <n v="78.272000000000006"/>
  </r>
  <r>
    <d v="2018-05-02T00:00:00"/>
    <s v="Christy Brittain"/>
    <s v="Consumer"/>
    <x v="1"/>
    <x v="13"/>
    <x v="17"/>
    <n v="26.405999999999999"/>
  </r>
  <r>
    <d v="2018-05-05T00:00:00"/>
    <s v="Brad Eason"/>
    <s v="Home Office"/>
    <x v="1"/>
    <x v="32"/>
    <x v="0"/>
    <n v="54.48"/>
  </r>
  <r>
    <d v="2018-05-08T00:00:00"/>
    <s v="Cynthia Voltz"/>
    <s v="Corporate"/>
    <x v="1"/>
    <x v="3"/>
    <x v="93"/>
    <n v="48.783999999999999"/>
  </r>
  <r>
    <d v="2018-05-11T00:00:00"/>
    <s v="Vivian Mathis"/>
    <s v="Consumer"/>
    <x v="0"/>
    <x v="7"/>
    <x v="94"/>
    <n v="8.67"/>
  </r>
  <r>
    <d v="2018-05-18T00:00:00"/>
    <s v="Bradley Nguyen"/>
    <s v="Consumer"/>
    <x v="3"/>
    <x v="10"/>
    <x v="16"/>
    <n v="242.9"/>
  </r>
  <r>
    <d v="2018-05-18T00:00:00"/>
    <s v="Anna HÃ¤berlin"/>
    <s v="Corporate"/>
    <x v="0"/>
    <x v="7"/>
    <x v="10"/>
    <n v="87.84"/>
  </r>
  <r>
    <d v="2018-05-21T00:00:00"/>
    <s v="Art Ferguson"/>
    <s v="Consumer"/>
    <x v="3"/>
    <x v="23"/>
    <x v="95"/>
    <n v="662.84"/>
  </r>
  <r>
    <d v="2018-05-25T00:00:00"/>
    <s v="Tiffany House"/>
    <s v="Corporate"/>
    <x v="3"/>
    <x v="15"/>
    <x v="20"/>
    <n v="34.847999999999999"/>
  </r>
  <r>
    <d v="2018-05-27T00:00:00"/>
    <s v="Clay Ludtke"/>
    <s v="Consumer"/>
    <x v="0"/>
    <x v="7"/>
    <x v="10"/>
    <n v="262.24"/>
  </r>
  <r>
    <d v="2018-05-29T00:00:00"/>
    <s v="Justin MacKendrick"/>
    <s v="Consumer"/>
    <x v="3"/>
    <x v="9"/>
    <x v="96"/>
    <n v="123.92"/>
  </r>
  <r>
    <d v="2018-05-29T00:00:00"/>
    <s v="Eugene Moren"/>
    <s v="Home Office"/>
    <x v="1"/>
    <x v="26"/>
    <x v="97"/>
    <n v="364.74"/>
  </r>
  <r>
    <d v="2018-06-04T00:00:00"/>
    <s v="Chloris Kastensmidt"/>
    <s v="Consumer"/>
    <x v="0"/>
    <x v="7"/>
    <x v="98"/>
    <n v="58.24"/>
  </r>
  <r>
    <d v="2018-06-11T00:00:00"/>
    <s v="Stewart Carmichael"/>
    <s v="Corporate"/>
    <x v="2"/>
    <x v="33"/>
    <x v="99"/>
    <n v="208.16"/>
  </r>
  <r>
    <d v="2018-06-11T00:00:00"/>
    <s v="Christy Brittain"/>
    <s v="Consumer"/>
    <x v="3"/>
    <x v="10"/>
    <x v="33"/>
    <n v="52.56"/>
  </r>
  <r>
    <d v="2018-06-11T00:00:00"/>
    <s v="Arthur Wiediger"/>
    <s v="Home Office"/>
    <x v="1"/>
    <x v="3"/>
    <x v="4"/>
    <n v="64.384"/>
  </r>
  <r>
    <d v="2018-06-17T00:00:00"/>
    <s v="Stewart Carmichael"/>
    <s v="Corporate"/>
    <x v="3"/>
    <x v="15"/>
    <x v="20"/>
    <n v="453.6"/>
  </r>
  <r>
    <d v="2018-06-19T00:00:00"/>
    <s v="Catherine Glotzbach"/>
    <s v="Home Office"/>
    <x v="3"/>
    <x v="15"/>
    <x v="20"/>
    <n v="447.69600000000003"/>
  </r>
  <r>
    <d v="2018-06-19T00:00:00"/>
    <s v="Roy Collins"/>
    <s v="Consumer"/>
    <x v="0"/>
    <x v="7"/>
    <x v="100"/>
    <n v="21.78"/>
  </r>
  <r>
    <d v="2018-06-23T00:00:00"/>
    <s v="Dave Hallsten"/>
    <s v="Corporate"/>
    <x v="1"/>
    <x v="3"/>
    <x v="4"/>
    <n v="8.7119999999999997"/>
  </r>
  <r>
    <d v="2018-06-23T00:00:00"/>
    <s v="Max Jones"/>
    <s v="Consumer"/>
    <x v="0"/>
    <x v="7"/>
    <x v="29"/>
    <n v="241.44"/>
  </r>
  <r>
    <d v="2018-06-24T00:00:00"/>
    <s v="Alan Shonely"/>
    <s v="Consumer"/>
    <x v="0"/>
    <x v="7"/>
    <x v="10"/>
    <n v="60.81"/>
  </r>
  <r>
    <d v="2018-06-27T00:00:00"/>
    <s v="Becky Pak"/>
    <s v="Consumer"/>
    <x v="3"/>
    <x v="23"/>
    <x v="73"/>
    <n v="8.74"/>
  </r>
  <r>
    <d v="2018-06-27T00:00:00"/>
    <s v="Becky Pak"/>
    <s v="Consumer"/>
    <x v="3"/>
    <x v="23"/>
    <x v="73"/>
    <n v="275.24"/>
  </r>
  <r>
    <d v="2018-07-02T00:00:00"/>
    <s v="Dean Katz"/>
    <s v="Corporate"/>
    <x v="3"/>
    <x v="10"/>
    <x v="16"/>
    <n v="706.86"/>
  </r>
  <r>
    <d v="2018-07-13T00:00:00"/>
    <s v="Raymond Buch"/>
    <s v="Consumer"/>
    <x v="0"/>
    <x v="7"/>
    <x v="8"/>
    <n v="151.62"/>
  </r>
  <r>
    <d v="2018-07-16T00:00:00"/>
    <s v="Matt Collister"/>
    <s v="Corporate"/>
    <x v="3"/>
    <x v="23"/>
    <x v="101"/>
    <n v="162.63999999999999"/>
  </r>
  <r>
    <d v="2018-07-16T00:00:00"/>
    <s v="Annie Thurman"/>
    <s v="Consumer"/>
    <x v="3"/>
    <x v="10"/>
    <x v="16"/>
    <n v="45.96"/>
  </r>
  <r>
    <d v="2018-07-21T00:00:00"/>
    <s v="Maureen Fritzler"/>
    <s v="Corporate"/>
    <x v="3"/>
    <x v="29"/>
    <x v="49"/>
    <n v="37.68"/>
  </r>
  <r>
    <d v="2018-07-22T00:00:00"/>
    <s v="Jennifer Braxton"/>
    <s v="Corporate"/>
    <x v="2"/>
    <x v="22"/>
    <x v="36"/>
    <n v="23.696000000000002"/>
  </r>
  <r>
    <d v="2018-07-24T00:00:00"/>
    <s v="Rick Reed"/>
    <s v="Corporate"/>
    <x v="3"/>
    <x v="9"/>
    <x v="60"/>
    <n v="243.88"/>
  </r>
  <r>
    <d v="2018-07-27T00:00:00"/>
    <s v="Olvera Toch"/>
    <s v="Consumer"/>
    <x v="3"/>
    <x v="15"/>
    <x v="102"/>
    <n v="9.48"/>
  </r>
  <r>
    <d v="2018-07-29T00:00:00"/>
    <s v="Rob Williams"/>
    <s v="Corporate"/>
    <x v="0"/>
    <x v="7"/>
    <x v="8"/>
    <n v="715.64"/>
  </r>
  <r>
    <d v="2018-07-30T00:00:00"/>
    <s v="Ken Lonsdale"/>
    <s v="Consumer"/>
    <x v="1"/>
    <x v="1"/>
    <x v="18"/>
    <n v="283.14"/>
  </r>
  <r>
    <d v="2018-07-31T00:00:00"/>
    <s v="Thomas Seio"/>
    <s v="Corporate"/>
    <x v="0"/>
    <x v="7"/>
    <x v="85"/>
    <n v="45.96"/>
  </r>
  <r>
    <d v="2018-08-07T00:00:00"/>
    <s v="Cathy Armstrong"/>
    <s v="Home Office"/>
    <x v="0"/>
    <x v="7"/>
    <x v="10"/>
    <n v="487.92"/>
  </r>
  <r>
    <d v="2018-08-08T00:00:00"/>
    <s v="Helen Andreada"/>
    <s v="Consumer"/>
    <x v="2"/>
    <x v="18"/>
    <x v="89"/>
    <n v="569.53599999999994"/>
  </r>
  <r>
    <d v="2018-08-12T00:00:00"/>
    <s v="Hunter Glantz"/>
    <s v="Consumer"/>
    <x v="2"/>
    <x v="34"/>
    <x v="103"/>
    <n v="17.34"/>
  </r>
  <r>
    <d v="2018-08-12T00:00:00"/>
    <s v="Carol Triggs"/>
    <s v="Consumer"/>
    <x v="1"/>
    <x v="3"/>
    <x v="104"/>
    <n v="58.923999999999999"/>
  </r>
  <r>
    <d v="2018-08-14T00:00:00"/>
    <s v="Max Engle"/>
    <s v="Consumer"/>
    <x v="0"/>
    <x v="16"/>
    <x v="21"/>
    <n v="122.328"/>
  </r>
  <r>
    <d v="2018-08-17T00:00:00"/>
    <s v="Helen Wasserman"/>
    <s v="Corporate"/>
    <x v="3"/>
    <x v="10"/>
    <x v="16"/>
    <n v="355.32"/>
  </r>
  <r>
    <d v="2018-08-21T00:00:00"/>
    <s v="Craig Reiter"/>
    <s v="Consumer"/>
    <x v="3"/>
    <x v="9"/>
    <x v="12"/>
    <n v="113.55200000000001"/>
  </r>
  <r>
    <d v="2018-08-22T00:00:00"/>
    <s v="Maxwell Schwartz"/>
    <s v="Consumer"/>
    <x v="0"/>
    <x v="2"/>
    <x v="2"/>
    <n v="43.1"/>
  </r>
  <r>
    <d v="2018-08-22T00:00:00"/>
    <s v="Jennifer Patt"/>
    <s v="Corporate"/>
    <x v="3"/>
    <x v="10"/>
    <x v="16"/>
    <n v="1040.8"/>
  </r>
  <r>
    <d v="2018-08-31T00:00:00"/>
    <s v="Joseph Airdo"/>
    <s v="Consumer"/>
    <x v="1"/>
    <x v="1"/>
    <x v="18"/>
    <n v="376.74"/>
  </r>
  <r>
    <d v="2018-09-01T00:00:00"/>
    <s v="Joe Elijah"/>
    <s v="Consumer"/>
    <x v="2"/>
    <x v="18"/>
    <x v="24"/>
    <n v="309.45600000000002"/>
  </r>
  <r>
    <d v="2018-09-03T00:00:00"/>
    <s v="Delfina Latchford"/>
    <s v="Consumer"/>
    <x v="2"/>
    <x v="25"/>
    <x v="105"/>
    <n v="87.168000000000006"/>
  </r>
  <r>
    <d v="2018-09-04T00:00:00"/>
    <s v="Gary Hansen"/>
    <s v="Home Office"/>
    <x v="1"/>
    <x v="3"/>
    <x v="4"/>
    <n v="62.79"/>
  </r>
  <r>
    <d v="2018-09-05T00:00:00"/>
    <s v="Elpida Rittenbach"/>
    <s v="Corporate"/>
    <x v="1"/>
    <x v="5"/>
    <x v="106"/>
    <n v="77.88"/>
  </r>
  <r>
    <d v="2018-09-07T00:00:00"/>
    <s v="Michael Grace"/>
    <s v="Home Office"/>
    <x v="3"/>
    <x v="10"/>
    <x v="16"/>
    <n v="207.48"/>
  </r>
  <r>
    <d v="2018-09-12T00:00:00"/>
    <s v="Alejandro Grove"/>
    <s v="Consumer"/>
    <x v="1"/>
    <x v="24"/>
    <x v="37"/>
    <n v="378"/>
  </r>
  <r>
    <d v="2018-09-15T00:00:00"/>
    <s v="Keith Dawkins"/>
    <s v="Corporate"/>
    <x v="0"/>
    <x v="7"/>
    <x v="107"/>
    <n v="17.48"/>
  </r>
  <r>
    <d v="2018-09-19T00:00:00"/>
    <s v="Helen Abelman"/>
    <s v="Consumer"/>
    <x v="3"/>
    <x v="10"/>
    <x v="16"/>
    <n v="393.25"/>
  </r>
  <r>
    <d v="2018-09-24T00:00:00"/>
    <s v="Tony Sayre"/>
    <s v="Consumer"/>
    <x v="3"/>
    <x v="9"/>
    <x v="108"/>
    <n v="286.25599999999997"/>
  </r>
  <r>
    <d v="2018-09-25T00:00:00"/>
    <s v="Steve Nguyen"/>
    <s v="Home Office"/>
    <x v="0"/>
    <x v="2"/>
    <x v="109"/>
    <n v="236.88"/>
  </r>
  <r>
    <d v="2018-09-25T00:00:00"/>
    <s v="Lisa Ryan"/>
    <s v="Corporate"/>
    <x v="1"/>
    <x v="3"/>
    <x v="4"/>
    <n v="93.031999999999996"/>
  </r>
  <r>
    <d v="2018-10-01T00:00:00"/>
    <s v="Tim Taslimi"/>
    <s v="Corporate"/>
    <x v="3"/>
    <x v="10"/>
    <x v="16"/>
    <n v="61.44"/>
  </r>
  <r>
    <d v="2018-10-14T00:00:00"/>
    <s v="Cynthia Delaney"/>
    <s v="Home Office"/>
    <x v="1"/>
    <x v="14"/>
    <x v="110"/>
    <n v="868.59"/>
  </r>
  <r>
    <d v="2018-10-14T00:00:00"/>
    <s v="Quincy Jones"/>
    <s v="Corporate"/>
    <x v="2"/>
    <x v="30"/>
    <x v="0"/>
    <n v="43.26"/>
  </r>
  <r>
    <d v="2018-10-16T00:00:00"/>
    <s v="Frank Carlisle"/>
    <s v="Home Office"/>
    <x v="1"/>
    <x v="32"/>
    <x v="49"/>
    <n v="1927.59"/>
  </r>
  <r>
    <d v="2018-10-26T00:00:00"/>
    <s v="Bart Pistole"/>
    <s v="Corporate"/>
    <x v="0"/>
    <x v="7"/>
    <x v="8"/>
    <n v="43.92"/>
  </r>
  <r>
    <d v="2018-10-28T00:00:00"/>
    <s v="Jim Mitchum"/>
    <s v="Corporate"/>
    <x v="3"/>
    <x v="23"/>
    <x v="111"/>
    <n v="11.67"/>
  </r>
  <r>
    <d v="2018-11-02T00:00:00"/>
    <s v="Phillip Flathmann"/>
    <s v="Consumer"/>
    <x v="0"/>
    <x v="7"/>
    <x v="10"/>
    <n v="1101.48"/>
  </r>
  <r>
    <d v="2018-11-02T00:00:00"/>
    <s v="Xylona Preis"/>
    <s v="Consumer"/>
    <x v="0"/>
    <x v="7"/>
    <x v="10"/>
    <n v="43.32"/>
  </r>
  <r>
    <d v="2018-11-09T00:00:00"/>
    <s v="Paul Prost"/>
    <s v="Home Office"/>
    <x v="3"/>
    <x v="9"/>
    <x v="0"/>
    <n v="334.88"/>
  </r>
  <r>
    <d v="2018-11-09T00:00:00"/>
    <s v="Arianne Irving"/>
    <s v="Consumer"/>
    <x v="0"/>
    <x v="7"/>
    <x v="10"/>
    <n v="129.91999999999999"/>
  </r>
  <r>
    <d v="2018-11-10T00:00:00"/>
    <s v="Laurel Beltran"/>
    <s v="Home Office"/>
    <x v="2"/>
    <x v="22"/>
    <x v="112"/>
    <n v="671.54399999999998"/>
  </r>
  <r>
    <d v="2018-11-11T00:00:00"/>
    <s v="Frank Hawley"/>
    <s v="Corporate"/>
    <x v="1"/>
    <x v="27"/>
    <x v="113"/>
    <n v="37.68"/>
  </r>
  <r>
    <d v="2018-11-11T00:00:00"/>
    <s v="Susan Pistek"/>
    <s v="Consumer"/>
    <x v="3"/>
    <x v="9"/>
    <x v="114"/>
    <n v="110.096"/>
  </r>
  <r>
    <d v="2018-11-17T00:00:00"/>
    <s v="Sean Braxton"/>
    <s v="Corporate"/>
    <x v="3"/>
    <x v="9"/>
    <x v="53"/>
    <n v="103.968"/>
  </r>
  <r>
    <d v="2018-11-17T00:00:00"/>
    <s v="Tracy Collins"/>
    <s v="Home Office"/>
    <x v="0"/>
    <x v="7"/>
    <x v="10"/>
    <n v="67.84"/>
  </r>
  <r>
    <d v="2018-11-18T00:00:00"/>
    <s v="Tim Taslimi"/>
    <s v="Corporate"/>
    <x v="1"/>
    <x v="27"/>
    <x v="115"/>
    <n v="54.96"/>
  </r>
  <r>
    <d v="2018-11-18T00:00:00"/>
    <s v="Natalie DeCherney"/>
    <s v="Consumer"/>
    <x v="3"/>
    <x v="10"/>
    <x v="33"/>
    <n v="8.74"/>
  </r>
  <r>
    <d v="2018-11-19T00:00:00"/>
    <s v="Matt Connell"/>
    <s v="Corporate"/>
    <x v="0"/>
    <x v="7"/>
    <x v="10"/>
    <n v="39"/>
  </r>
  <r>
    <d v="2018-11-23T00:00:00"/>
    <s v="Sample Company A"/>
    <s v="Home Office"/>
    <x v="2"/>
    <x v="22"/>
    <x v="116"/>
    <n v="42.384"/>
  </r>
  <r>
    <d v="2018-11-25T00:00:00"/>
    <s v="Maribeth Schnelling"/>
    <s v="Consumer"/>
    <x v="0"/>
    <x v="7"/>
    <x v="10"/>
    <n v="64.959999999999994"/>
  </r>
  <r>
    <d v="2018-11-26T00:00:00"/>
    <s v="Victoria Brennan"/>
    <s v="Corporate"/>
    <x v="1"/>
    <x v="1"/>
    <x v="117"/>
    <n v="167.292"/>
  </r>
  <r>
    <d v="2018-11-30T00:00:00"/>
    <s v="John Murray"/>
    <s v="Consumer"/>
    <x v="1"/>
    <x v="3"/>
    <x v="118"/>
    <n v="11.648"/>
  </r>
  <r>
    <d v="2018-11-30T00:00:00"/>
    <s v="Eva Jacobs"/>
    <s v="Consumer"/>
    <x v="3"/>
    <x v="12"/>
    <x v="119"/>
    <n v="901.95"/>
  </r>
  <r>
    <d v="2018-11-30T00:00:00"/>
    <s v="Jonathan Doherty"/>
    <s v="Corporate"/>
    <x v="2"/>
    <x v="30"/>
    <x v="5"/>
    <n v="2104.5500000000002"/>
  </r>
  <r>
    <d v="2018-12-01T00:00:00"/>
    <s v="Keith Dawkins"/>
    <s v="Corporate"/>
    <x v="0"/>
    <x v="7"/>
    <x v="107"/>
    <n v="59.7"/>
  </r>
  <r>
    <d v="2018-12-02T00:00:00"/>
    <s v="Caroline Jumper"/>
    <s v="Consumer"/>
    <x v="3"/>
    <x v="15"/>
    <x v="20"/>
    <n v="394.81599999999997"/>
  </r>
  <r>
    <d v="2018-12-08T00:00:00"/>
    <s v="Ken Black"/>
    <s v="Corporate"/>
    <x v="1"/>
    <x v="24"/>
    <x v="120"/>
    <n v="60.34"/>
  </r>
  <r>
    <d v="2018-12-08T00:00:00"/>
    <s v="Logan Haushalter"/>
    <s v="Consumer"/>
    <x v="1"/>
    <x v="1"/>
    <x v="7"/>
    <n v="61.929000000000002"/>
  </r>
  <r>
    <d v="2018-12-08T00:00:00"/>
    <s v="Rob Williams"/>
    <s v="Corporate"/>
    <x v="1"/>
    <x v="13"/>
    <x v="17"/>
    <n v="4.3559999999999999"/>
  </r>
  <r>
    <d v="2018-12-09T00:00:00"/>
    <s v="Arthur Prichep"/>
    <s v="Consumer"/>
    <x v="0"/>
    <x v="2"/>
    <x v="2"/>
    <n v="65.34"/>
  </r>
  <r>
    <d v="2018-12-09T00:00:00"/>
    <s v="Arthur Prichep"/>
    <s v="Consumer"/>
    <x v="0"/>
    <x v="2"/>
    <x v="2"/>
    <n v="35.1"/>
  </r>
  <r>
    <d v="2018-12-10T00:00:00"/>
    <s v="Noel Staavos"/>
    <s v="Corporate"/>
    <x v="3"/>
    <x v="9"/>
    <x v="12"/>
    <n v="387.13600000000002"/>
  </r>
  <r>
    <d v="2018-12-10T00:00:00"/>
    <s v="William Brown"/>
    <s v="Consumer"/>
    <x v="0"/>
    <x v="7"/>
    <x v="121"/>
    <n v="83.42"/>
  </r>
  <r>
    <d v="2018-12-10T00:00:00"/>
    <s v="Steve Chapman"/>
    <s v="Corporate"/>
    <x v="3"/>
    <x v="9"/>
    <x v="0"/>
    <n v="73.536000000000001"/>
  </r>
  <r>
    <d v="2018-12-11T00:00:00"/>
    <s v="Roy FranzÃ¶sisch"/>
    <s v="Consumer"/>
    <x v="0"/>
    <x v="7"/>
    <x v="100"/>
    <n v="56.52"/>
  </r>
  <r>
    <d v="2018-12-14T00:00:00"/>
    <s v="Mike Pelletier"/>
    <s v="Home Office"/>
    <x v="0"/>
    <x v="0"/>
    <x v="0"/>
    <n v="87.168000000000006"/>
  </r>
  <r>
    <d v="2018-12-15T00:00:00"/>
    <s v="Sandra Flanagan"/>
    <s v="Consumer"/>
    <x v="2"/>
    <x v="18"/>
    <x v="122"/>
    <n v="34.944000000000003"/>
  </r>
  <r>
    <d v="2018-12-17T00:00:00"/>
    <s v="Alan Haines"/>
    <s v="Corporate"/>
    <x v="2"/>
    <x v="22"/>
    <x v="123"/>
    <n v="194.52799999999999"/>
  </r>
  <r>
    <d v="2018-12-25T00:00:00"/>
    <s v="Sally Hughsby"/>
    <s v="Corporate"/>
    <x v="0"/>
    <x v="16"/>
    <x v="25"/>
    <n v="18.72"/>
  </r>
  <r>
    <d v="2018-12-25T00:00:00"/>
    <s v="Mike Caudle"/>
    <s v="Corporate"/>
    <x v="0"/>
    <x v="7"/>
    <x v="10"/>
    <n v="7.9"/>
  </r>
  <r>
    <d v="2018-12-25T00:00:00"/>
    <s v="Brenda Bowman"/>
    <s v="Corporate"/>
    <x v="3"/>
    <x v="23"/>
    <x v="124"/>
    <n v="26.49"/>
  </r>
  <r>
    <d v="2018-12-28T00:00:00"/>
    <s v="Carlos Daly"/>
    <s v="Consumer"/>
    <x v="1"/>
    <x v="35"/>
    <x v="125"/>
    <n v="81.96"/>
  </r>
  <r>
    <d v="2018-12-31T00:00:00"/>
    <s v="Janet Martin"/>
    <s v="Consumer"/>
    <x v="1"/>
    <x v="3"/>
    <x v="126"/>
    <n v="15.224"/>
  </r>
  <r>
    <d v="2019-01-01T00:00:00"/>
    <s v="Trudy Schmidt"/>
    <s v="Consumer"/>
    <x v="1"/>
    <x v="3"/>
    <x v="127"/>
    <n v="5.4320000000000004"/>
  </r>
  <r>
    <d v="2019-01-14T00:00:00"/>
    <s v="Robert Waldorf"/>
    <s v="Consumer"/>
    <x v="3"/>
    <x v="15"/>
    <x v="20"/>
    <n v="34.384"/>
  </r>
  <r>
    <d v="2019-01-14T00:00:00"/>
    <s v="Robert Waldorf"/>
    <s v="Consumer"/>
    <x v="3"/>
    <x v="15"/>
    <x v="20"/>
    <n v="1924.16"/>
  </r>
  <r>
    <d v="2019-01-18T00:00:00"/>
    <s v="Raymond Messe"/>
    <s v="Consumer"/>
    <x v="3"/>
    <x v="36"/>
    <x v="128"/>
    <n v="542.94000000000005"/>
  </r>
  <r>
    <d v="2019-01-23T00:00:00"/>
    <s v="Keith Dawkins"/>
    <s v="Corporate"/>
    <x v="0"/>
    <x v="7"/>
    <x v="107"/>
    <n v="25.86"/>
  </r>
  <r>
    <d v="2019-02-01T00:00:00"/>
    <s v="John Lee"/>
    <s v="Consumer"/>
    <x v="0"/>
    <x v="7"/>
    <x v="10"/>
    <n v="46.8"/>
  </r>
  <r>
    <d v="2019-02-03T00:00:00"/>
    <s v="Jay Fein"/>
    <s v="Consumer"/>
    <x v="3"/>
    <x v="10"/>
    <x v="129"/>
    <n v="32.67"/>
  </r>
  <r>
    <d v="2019-02-04T00:00:00"/>
    <s v="Fred Chung"/>
    <s v="Corporate"/>
    <x v="0"/>
    <x v="7"/>
    <x v="130"/>
    <n v="1640.7"/>
  </r>
  <r>
    <d v="2019-02-08T00:00:00"/>
    <s v="Tom Prescott"/>
    <s v="Consumer"/>
    <x v="1"/>
    <x v="3"/>
    <x v="4"/>
    <n v="12.992000000000001"/>
  </r>
  <r>
    <d v="2019-02-12T00:00:00"/>
    <s v="Mark Hamilton"/>
    <s v="Consumer"/>
    <x v="1"/>
    <x v="5"/>
    <x v="131"/>
    <n v="90.64"/>
  </r>
  <r>
    <d v="2019-02-18T00:00:00"/>
    <s v="Nicole Hansen"/>
    <s v="Corporate"/>
    <x v="2"/>
    <x v="8"/>
    <x v="132"/>
    <n v="1245.8599999999999"/>
  </r>
  <r>
    <d v="2019-02-19T00:00:00"/>
    <s v="Julie Prescott"/>
    <s v="Home Office"/>
    <x v="1"/>
    <x v="14"/>
    <x v="133"/>
    <n v="13.11"/>
  </r>
  <r>
    <d v="2019-02-25T00:00:00"/>
    <s v="Bradley Talbott"/>
    <s v="Home Office"/>
    <x v="0"/>
    <x v="7"/>
    <x v="10"/>
    <n v="81.92"/>
  </r>
  <r>
    <d v="2019-02-25T00:00:00"/>
    <s v="Becky Martin"/>
    <s v="Consumer"/>
    <x v="0"/>
    <x v="7"/>
    <x v="134"/>
    <n v="356.79"/>
  </r>
  <r>
    <d v="2019-03-02T00:00:00"/>
    <s v="Liz Preis"/>
    <s v="Consumer"/>
    <x v="2"/>
    <x v="4"/>
    <x v="135"/>
    <n v="72.8"/>
  </r>
  <r>
    <d v="2019-03-04T00:00:00"/>
    <s v="Claudia Bergmann"/>
    <s v="Corporate"/>
    <x v="2"/>
    <x v="6"/>
    <x v="136"/>
    <n v="262.24"/>
  </r>
  <r>
    <d v="2019-03-07T00:00:00"/>
    <s v="Victoria Brennan"/>
    <s v="Corporate"/>
    <x v="2"/>
    <x v="8"/>
    <x v="12"/>
    <n v="647.84"/>
  </r>
  <r>
    <d v="2019-03-09T00:00:00"/>
    <s v="Karen Seio"/>
    <s v="Corporate"/>
    <x v="2"/>
    <x v="18"/>
    <x v="137"/>
    <n v="48.783999999999999"/>
  </r>
  <r>
    <d v="2019-03-12T00:00:00"/>
    <s v="Shahid Collister"/>
    <s v="Consumer"/>
    <x v="3"/>
    <x v="21"/>
    <x v="40"/>
    <n v="465.16"/>
  </r>
  <r>
    <d v="2019-03-15T00:00:00"/>
    <s v="Ken Dana"/>
    <s v="Corporate"/>
    <x v="0"/>
    <x v="7"/>
    <x v="10"/>
    <n v="140.66999999999999"/>
  </r>
  <r>
    <d v="2019-03-17T00:00:00"/>
    <s v="Carol Darley"/>
    <s v="Consumer"/>
    <x v="1"/>
    <x v="3"/>
    <x v="138"/>
    <n v="2.6880000000000002"/>
  </r>
  <r>
    <d v="2019-03-17T00:00:00"/>
    <s v="Jason Klamczynski"/>
    <s v="Corporate"/>
    <x v="0"/>
    <x v="7"/>
    <x v="10"/>
    <n v="90.86"/>
  </r>
  <r>
    <d v="2019-03-18T00:00:00"/>
    <s v="George Zrebassa"/>
    <s v="Corporate"/>
    <x v="0"/>
    <x v="7"/>
    <x v="10"/>
    <n v="381.36"/>
  </r>
  <r>
    <d v="2019-03-20T00:00:00"/>
    <s v="Pauline Webber"/>
    <s v="Corporate"/>
    <x v="2"/>
    <x v="22"/>
    <x v="139"/>
    <n v="64.384"/>
  </r>
  <r>
    <d v="2019-03-24T00:00:00"/>
    <s v="Christina VanderZanden"/>
    <s v="Consumer"/>
    <x v="0"/>
    <x v="7"/>
    <x v="48"/>
    <n v="176.04"/>
  </r>
  <r>
    <d v="2019-03-25T00:00:00"/>
    <s v="Heather Kirkland"/>
    <s v="Corporate"/>
    <x v="1"/>
    <x v="3"/>
    <x v="4"/>
    <n v="87.168000000000006"/>
  </r>
  <r>
    <d v="2019-03-30T00:00:00"/>
    <s v="Scott Cohen"/>
    <s v="Corporate"/>
    <x v="1"/>
    <x v="3"/>
    <x v="86"/>
    <n v="33.619999999999997"/>
  </r>
  <r>
    <d v="2019-03-31T00:00:00"/>
    <s v="Barry FranzÃ¶sisch"/>
    <s v="Corporate"/>
    <x v="2"/>
    <x v="22"/>
    <x v="56"/>
    <n v="20.808"/>
  </r>
  <r>
    <d v="2019-04-07T00:00:00"/>
    <s v="Karen Ferguson"/>
    <s v="Home Office"/>
    <x v="3"/>
    <x v="23"/>
    <x v="140"/>
    <n v="41.95"/>
  </r>
  <r>
    <d v="2019-04-09T00:00:00"/>
    <s v="Bruce Stewart"/>
    <s v="Consumer"/>
    <x v="3"/>
    <x v="15"/>
    <x v="20"/>
    <n v="195.10400000000001"/>
  </r>
  <r>
    <d v="2019-04-15T00:00:00"/>
    <s v="Jesus Ocampo"/>
    <s v="Home Office"/>
    <x v="0"/>
    <x v="7"/>
    <x v="8"/>
    <n v="40.74"/>
  </r>
  <r>
    <d v="2019-04-20T00:00:00"/>
    <s v="Shirley Jackson"/>
    <s v="Consumer"/>
    <x v="1"/>
    <x v="3"/>
    <x v="4"/>
    <n v="97.263999999999996"/>
  </r>
  <r>
    <d v="2019-04-22T00:00:00"/>
    <s v="Sally Knutson"/>
    <s v="Consumer"/>
    <x v="3"/>
    <x v="10"/>
    <x v="16"/>
    <n v="121.94"/>
  </r>
  <r>
    <d v="2019-04-23T00:00:00"/>
    <s v="Damala Kotsonis"/>
    <s v="Corporate"/>
    <x v="3"/>
    <x v="15"/>
    <x v="20"/>
    <n v="99.28"/>
  </r>
  <r>
    <d v="2019-04-27T00:00:00"/>
    <s v="Jack Lebron"/>
    <s v="Consumer"/>
    <x v="2"/>
    <x v="18"/>
    <x v="141"/>
    <n v="28.08"/>
  </r>
  <r>
    <d v="2019-05-05T00:00:00"/>
    <s v="Trudy Schmidt"/>
    <s v="Consumer"/>
    <x v="0"/>
    <x v="7"/>
    <x v="142"/>
    <n v="152.94"/>
  </r>
  <r>
    <d v="2019-05-06T00:00:00"/>
    <s v="Rick Wilson"/>
    <s v="Corporate"/>
    <x v="1"/>
    <x v="1"/>
    <x v="18"/>
    <n v="87.444000000000003"/>
  </r>
  <r>
    <d v="2019-05-07T00:00:00"/>
    <s v="Michelle Moray"/>
    <s v="Consumer"/>
    <x v="0"/>
    <x v="7"/>
    <x v="8"/>
    <n v="81.08"/>
  </r>
  <r>
    <d v="2019-05-11T00:00:00"/>
    <s v="Charles Sheldon"/>
    <s v="Corporate"/>
    <x v="0"/>
    <x v="7"/>
    <x v="8"/>
    <n v="7.77"/>
  </r>
  <r>
    <d v="2019-05-12T00:00:00"/>
    <s v="Frank Hawley"/>
    <s v="Corporate"/>
    <x v="2"/>
    <x v="25"/>
    <x v="119"/>
    <n v="20.768000000000001"/>
  </r>
  <r>
    <d v="2019-05-17T00:00:00"/>
    <s v="Todd Boyes"/>
    <s v="Corporate"/>
    <x v="2"/>
    <x v="8"/>
    <x v="143"/>
    <n v="17.239999999999998"/>
  </r>
  <r>
    <d v="2019-05-17T00:00:00"/>
    <s v="Paul Prost"/>
    <s v="Home Office"/>
    <x v="1"/>
    <x v="32"/>
    <x v="0"/>
    <n v="706.86"/>
  </r>
  <r>
    <d v="2019-05-18T00:00:00"/>
    <s v="Annie Thurman"/>
    <s v="Consumer"/>
    <x v="0"/>
    <x v="2"/>
    <x v="2"/>
    <n v="97.16"/>
  </r>
  <r>
    <d v="2019-05-18T00:00:00"/>
    <s v="Roland Schwarz"/>
    <s v="Corporate"/>
    <x v="3"/>
    <x v="10"/>
    <x v="144"/>
    <n v="281.33999999999997"/>
  </r>
  <r>
    <d v="2019-05-19T00:00:00"/>
    <s v="Rick Duston"/>
    <s v="Consumer"/>
    <x v="0"/>
    <x v="31"/>
    <x v="81"/>
    <n v="64.900000000000006"/>
  </r>
  <r>
    <d v="2019-05-22T00:00:00"/>
    <s v="Ken Lonsdale"/>
    <s v="Consumer"/>
    <x v="1"/>
    <x v="3"/>
    <x v="4"/>
    <n v="18.32"/>
  </r>
  <r>
    <d v="2019-05-25T00:00:00"/>
    <s v="Kimberly Carter"/>
    <s v="Corporate"/>
    <x v="2"/>
    <x v="4"/>
    <x v="145"/>
    <n v="208.44"/>
  </r>
  <r>
    <d v="2019-05-27T00:00:00"/>
    <s v="Michael Dominguez"/>
    <s v="Corporate"/>
    <x v="3"/>
    <x v="29"/>
    <x v="146"/>
    <n v="125.13"/>
  </r>
  <r>
    <d v="2019-05-28T00:00:00"/>
    <s v="Maris LaWare"/>
    <s v="Consumer"/>
    <x v="1"/>
    <x v="27"/>
    <x v="12"/>
    <n v="465.16"/>
  </r>
  <r>
    <d v="2019-05-31T00:00:00"/>
    <s v="Barry Blumstein"/>
    <s v="Corporate"/>
    <x v="3"/>
    <x v="9"/>
    <x v="60"/>
    <n v="17.48"/>
  </r>
  <r>
    <d v="2019-06-02T00:00:00"/>
    <s v="Nick Radford"/>
    <s v="Consumer"/>
    <x v="2"/>
    <x v="22"/>
    <x v="147"/>
    <n v="5.2"/>
  </r>
  <r>
    <d v="2019-06-02T00:00:00"/>
    <s v="Nick Radford"/>
    <s v="Consumer"/>
    <x v="2"/>
    <x v="22"/>
    <x v="147"/>
    <n v="24.472000000000001"/>
  </r>
  <r>
    <d v="2019-06-07T00:00:00"/>
    <s v="Dorris liebe"/>
    <s v="Corporate"/>
    <x v="1"/>
    <x v="3"/>
    <x v="100"/>
    <n v="1.6240000000000001"/>
  </r>
  <r>
    <d v="2019-06-10T00:00:00"/>
    <s v="Zuschuss Donatelli"/>
    <s v="Consumer"/>
    <x v="0"/>
    <x v="7"/>
    <x v="10"/>
    <n v="61.44"/>
  </r>
  <r>
    <d v="2019-06-14T00:00:00"/>
    <s v="Thomas Seio"/>
    <s v="Corporate"/>
    <x v="2"/>
    <x v="25"/>
    <x v="148"/>
    <n v="76.608000000000004"/>
  </r>
  <r>
    <d v="2019-06-15T00:00:00"/>
    <s v="Joel Eaton"/>
    <s v="Consumer"/>
    <x v="2"/>
    <x v="4"/>
    <x v="149"/>
    <n v="180.66"/>
  </r>
  <r>
    <d v="2019-06-18T00:00:00"/>
    <s v="Zuschuss Carroll"/>
    <s v="Consumer"/>
    <x v="1"/>
    <x v="3"/>
    <x v="4"/>
    <n v="2.2639999999999998"/>
  </r>
  <r>
    <d v="2019-06-18T00:00:00"/>
    <s v="Zuschuss Carroll"/>
    <s v="Consumer"/>
    <x v="1"/>
    <x v="3"/>
    <x v="4"/>
    <n v="0.44400000000000001"/>
  </r>
  <r>
    <d v="2019-06-28T00:00:00"/>
    <s v="Alex Avila"/>
    <s v="Consumer"/>
    <x v="1"/>
    <x v="5"/>
    <x v="131"/>
    <n v="362.94"/>
  </r>
  <r>
    <d v="2019-06-28T00:00:00"/>
    <s v="Max Engle"/>
    <s v="Consumer"/>
    <x v="1"/>
    <x v="3"/>
    <x v="3"/>
    <n v="21.391999999999999"/>
  </r>
  <r>
    <d v="2019-07-08T00:00:00"/>
    <s v="Noel Staavos"/>
    <s v="Corporate"/>
    <x v="1"/>
    <x v="13"/>
    <x v="17"/>
    <n v="58.463999999999999"/>
  </r>
  <r>
    <d v="2019-07-09T00:00:00"/>
    <s v="Beth Fritzler"/>
    <s v="Corporate"/>
    <x v="2"/>
    <x v="8"/>
    <x v="12"/>
    <n v="41.91"/>
  </r>
  <r>
    <d v="2019-07-10T00:00:00"/>
    <s v="Karen Bern"/>
    <s v="Corporate"/>
    <x v="0"/>
    <x v="7"/>
    <x v="10"/>
    <n v="168.1"/>
  </r>
  <r>
    <d v="2019-07-14T00:00:00"/>
    <s v="Ricardo Sperren"/>
    <s v="Corporate"/>
    <x v="2"/>
    <x v="30"/>
    <x v="150"/>
    <n v="179.94"/>
  </r>
  <r>
    <d v="2019-07-19T00:00:00"/>
    <s v="Elizabeth Moffitt"/>
    <s v="Corporate"/>
    <x v="1"/>
    <x v="37"/>
    <x v="151"/>
    <n v="416.32"/>
  </r>
  <r>
    <d v="2019-07-20T00:00:00"/>
    <s v="Cari Schnelling"/>
    <s v="Consumer"/>
    <x v="3"/>
    <x v="10"/>
    <x v="16"/>
    <n v="17.48"/>
  </r>
  <r>
    <d v="2019-07-28T00:00:00"/>
    <s v="Anna Gayman"/>
    <s v="Consumer"/>
    <x v="2"/>
    <x v="18"/>
    <x v="56"/>
    <n v="34.847999999999999"/>
  </r>
  <r>
    <d v="2019-07-28T00:00:00"/>
    <s v="Roland Fjeld"/>
    <s v="Consumer"/>
    <x v="1"/>
    <x v="14"/>
    <x v="110"/>
    <n v="137.62"/>
  </r>
  <r>
    <d v="2019-07-30T00:00:00"/>
    <s v="Luke Schmidt"/>
    <s v="Corporate"/>
    <x v="1"/>
    <x v="26"/>
    <x v="62"/>
    <n v="155.88"/>
  </r>
  <r>
    <d v="2019-08-06T00:00:00"/>
    <s v="Jeremy Lonsdale"/>
    <s v="Consumer"/>
    <x v="0"/>
    <x v="7"/>
    <x v="152"/>
    <n v="1473.1"/>
  </r>
  <r>
    <d v="2019-08-11T00:00:00"/>
    <s v="Justin MacKendrick"/>
    <s v="Consumer"/>
    <x v="0"/>
    <x v="7"/>
    <x v="153"/>
    <n v="542.94000000000005"/>
  </r>
  <r>
    <d v="2019-08-12T00:00:00"/>
    <s v="Jay Kimmel"/>
    <s v="Consumer"/>
    <x v="0"/>
    <x v="7"/>
    <x v="8"/>
    <n v="83.79"/>
  </r>
  <r>
    <d v="2019-08-12T00:00:00"/>
    <s v="Dan Campbell"/>
    <s v="Consumer"/>
    <x v="2"/>
    <x v="25"/>
    <x v="154"/>
    <n v="272.048"/>
  </r>
  <r>
    <d v="2019-08-14T00:00:00"/>
    <s v="James Galang"/>
    <s v="Consumer"/>
    <x v="3"/>
    <x v="23"/>
    <x v="140"/>
    <n v="97.84"/>
  </r>
  <r>
    <d v="2019-08-16T00:00:00"/>
    <s v="Emily Ducich"/>
    <s v="Home Office"/>
    <x v="1"/>
    <x v="3"/>
    <x v="4"/>
    <n v="38.863999999999997"/>
  </r>
  <r>
    <d v="2019-08-16T00:00:00"/>
    <s v="Rick Wilson"/>
    <s v="Corporate"/>
    <x v="0"/>
    <x v="7"/>
    <x v="47"/>
    <n v="2518.29"/>
  </r>
  <r>
    <d v="2019-08-20T00:00:00"/>
    <s v="Patrick Ryan"/>
    <s v="Consumer"/>
    <x v="0"/>
    <x v="7"/>
    <x v="155"/>
    <n v="203.52"/>
  </r>
  <r>
    <d v="2019-08-22T00:00:00"/>
    <s v="Patrick O'Brill"/>
    <s v="Consumer"/>
    <x v="2"/>
    <x v="22"/>
    <x v="156"/>
    <n v="161.376"/>
  </r>
  <r>
    <d v="2019-08-23T00:00:00"/>
    <s v="Darrin Martin"/>
    <s v="Consumer"/>
    <x v="3"/>
    <x v="9"/>
    <x v="38"/>
    <n v="646.27200000000005"/>
  </r>
  <r>
    <d v="2019-08-26T00:00:00"/>
    <s v="Dan Reichenbach"/>
    <s v="Corporate"/>
    <x v="0"/>
    <x v="7"/>
    <x v="157"/>
    <n v="321.92"/>
  </r>
  <r>
    <d v="2019-08-26T00:00:00"/>
    <s v="Shui Tom"/>
    <s v="Consumer"/>
    <x v="2"/>
    <x v="22"/>
    <x v="158"/>
    <n v="14.336"/>
  </r>
  <r>
    <d v="2019-08-27T00:00:00"/>
    <s v="Matthew Grinstein"/>
    <s v="Home Office"/>
    <x v="1"/>
    <x v="26"/>
    <x v="62"/>
    <n v="91.6"/>
  </r>
  <r>
    <d v="2019-08-30T00:00:00"/>
    <s v="Ashley Jarboe"/>
    <s v="Consumer"/>
    <x v="1"/>
    <x v="27"/>
    <x v="15"/>
    <n v="638.73"/>
  </r>
  <r>
    <d v="2019-08-31T00:00:00"/>
    <s v="Rick Wilson"/>
    <s v="Corporate"/>
    <x v="0"/>
    <x v="2"/>
    <x v="2"/>
    <n v="314.60000000000002"/>
  </r>
  <r>
    <d v="2019-09-01T00:00:00"/>
    <s v="Ann Chong"/>
    <s v="Corporate"/>
    <x v="3"/>
    <x v="10"/>
    <x v="16"/>
    <n v="12.98"/>
  </r>
  <r>
    <d v="2019-09-01T00:00:00"/>
    <s v="Jill Stevenson"/>
    <s v="Corporate"/>
    <x v="1"/>
    <x v="13"/>
    <x v="17"/>
    <n v="5.5880000000000001"/>
  </r>
  <r>
    <d v="2019-09-06T00:00:00"/>
    <s v="Dario Medina"/>
    <s v="Corporate"/>
    <x v="2"/>
    <x v="25"/>
    <x v="148"/>
    <n v="81.567999999999998"/>
  </r>
  <r>
    <d v="2019-09-08T00:00:00"/>
    <s v="Damala Kotsonis"/>
    <s v="Corporate"/>
    <x v="0"/>
    <x v="0"/>
    <x v="159"/>
    <n v="11.176"/>
  </r>
  <r>
    <d v="2019-09-09T00:00:00"/>
    <s v="Robert Waldorf"/>
    <s v="Consumer"/>
    <x v="1"/>
    <x v="32"/>
    <x v="0"/>
    <n v="33.99"/>
  </r>
  <r>
    <d v="2019-09-09T00:00:00"/>
    <s v="Robert Waldorf"/>
    <s v="Consumer"/>
    <x v="1"/>
    <x v="32"/>
    <x v="0"/>
    <n v="24.18"/>
  </r>
  <r>
    <d v="2019-09-10T00:00:00"/>
    <s v="Cassandra Brandow"/>
    <s v="Consumer"/>
    <x v="0"/>
    <x v="7"/>
    <x v="8"/>
    <n v="406.6"/>
  </r>
  <r>
    <d v="2019-09-10T00:00:00"/>
    <s v="Cindy Chapman"/>
    <s v="Consumer"/>
    <x v="1"/>
    <x v="3"/>
    <x v="4"/>
    <n v="1.556"/>
  </r>
  <r>
    <d v="2019-09-10T00:00:00"/>
    <s v="Cassandra Brandow"/>
    <s v="Consumer"/>
    <x v="2"/>
    <x v="30"/>
    <x v="5"/>
    <n v="67.900000000000006"/>
  </r>
  <r>
    <d v="2019-09-10T00:00:00"/>
    <s v="Shahid Shariari"/>
    <s v="Consumer"/>
    <x v="2"/>
    <x v="4"/>
    <x v="160"/>
    <n v="195.68"/>
  </r>
  <r>
    <d v="2019-09-11T00:00:00"/>
    <s v="Bart Folk"/>
    <s v="Consumer"/>
    <x v="3"/>
    <x v="29"/>
    <x v="67"/>
    <n v="90.86"/>
  </r>
  <r>
    <d v="2019-09-13T00:00:00"/>
    <s v="Dorothy Badders"/>
    <s v="Corporate"/>
    <x v="2"/>
    <x v="18"/>
    <x v="137"/>
    <n v="942.78399999999999"/>
  </r>
  <r>
    <d v="2019-09-14T00:00:00"/>
    <s v="Rick Duston"/>
    <s v="Consumer"/>
    <x v="0"/>
    <x v="7"/>
    <x v="8"/>
    <n v="108.96"/>
  </r>
  <r>
    <d v="2019-09-20T00:00:00"/>
    <s v="Kean Thornton"/>
    <s v="Consumer"/>
    <x v="2"/>
    <x v="8"/>
    <x v="12"/>
    <n v="80.48"/>
  </r>
  <r>
    <d v="2019-09-22T00:00:00"/>
    <s v="Don Weiss"/>
    <s v="Consumer"/>
    <x v="0"/>
    <x v="2"/>
    <x v="2"/>
    <n v="119.96"/>
  </r>
  <r>
    <d v="2019-09-22T00:00:00"/>
    <s v="Bruce Stewart"/>
    <s v="Consumer"/>
    <x v="0"/>
    <x v="7"/>
    <x v="8"/>
    <n v="160.96"/>
  </r>
  <r>
    <d v="2019-09-22T00:00:00"/>
    <s v="Lena Cacioppo"/>
    <s v="Consumer"/>
    <x v="1"/>
    <x v="13"/>
    <x v="17"/>
    <n v="73.176000000000002"/>
  </r>
  <r>
    <d v="2019-09-27T00:00:00"/>
    <s v="Darrin Sayre"/>
    <s v="Home Office"/>
    <x v="0"/>
    <x v="16"/>
    <x v="21"/>
    <n v="209.792"/>
  </r>
  <r>
    <d v="2019-09-28T00:00:00"/>
    <s v="Patrick Gardner"/>
    <s v="Consumer"/>
    <x v="0"/>
    <x v="7"/>
    <x v="161"/>
    <n v="97.84"/>
  </r>
  <r>
    <d v="2019-09-29T00:00:00"/>
    <s v="Cari Sayre"/>
    <s v="Corporate"/>
    <x v="0"/>
    <x v="2"/>
    <x v="2"/>
    <n v="3.89"/>
  </r>
  <r>
    <d v="2019-09-30T00:00:00"/>
    <s v="Neola Schneider"/>
    <s v="Consumer"/>
    <x v="0"/>
    <x v="7"/>
    <x v="107"/>
    <n v="241.96"/>
  </r>
  <r>
    <d v="2019-10-01T00:00:00"/>
    <s v="Steve Chapman"/>
    <s v="Corporate"/>
    <x v="1"/>
    <x v="3"/>
    <x v="4"/>
    <n v="15.224"/>
  </r>
  <r>
    <d v="2019-10-01T00:00:00"/>
    <s v="Steve Chapman"/>
    <s v="Corporate"/>
    <x v="1"/>
    <x v="3"/>
    <x v="4"/>
    <n v="21.984000000000002"/>
  </r>
  <r>
    <d v="2019-10-02T00:00:00"/>
    <s v="Patrick O'Brill"/>
    <s v="Consumer"/>
    <x v="2"/>
    <x v="22"/>
    <x v="116"/>
    <n v="17.920000000000002"/>
  </r>
  <r>
    <d v="2019-10-04T00:00:00"/>
    <s v="Greg Guthrie"/>
    <s v="Corporate"/>
    <x v="0"/>
    <x v="7"/>
    <x v="162"/>
    <n v="15.8"/>
  </r>
  <r>
    <d v="2019-10-05T00:00:00"/>
    <s v="Nick Zandusky"/>
    <s v="Home Office"/>
    <x v="0"/>
    <x v="38"/>
    <x v="163"/>
    <n v="227.84"/>
  </r>
  <r>
    <d v="2019-10-12T00:00:00"/>
    <s v="Craig Reiter"/>
    <s v="Consumer"/>
    <x v="3"/>
    <x v="10"/>
    <x v="16"/>
    <n v="904.9"/>
  </r>
  <r>
    <d v="2019-10-20T00:00:00"/>
    <s v="Susan Pistek"/>
    <s v="Consumer"/>
    <x v="1"/>
    <x v="13"/>
    <x v="17"/>
    <n v="23.992000000000001"/>
  </r>
  <r>
    <d v="2019-10-20T00:00:00"/>
    <s v="Frank Carlisle"/>
    <s v="Home Office"/>
    <x v="3"/>
    <x v="9"/>
    <x v="164"/>
    <n v="161.56800000000001"/>
  </r>
  <r>
    <d v="2019-10-22T00:00:00"/>
    <s v="Adam Hart"/>
    <s v="Corporate"/>
    <x v="3"/>
    <x v="39"/>
    <x v="165"/>
    <n v="2.2200000000000002"/>
  </r>
  <r>
    <d v="2019-10-29T00:00:00"/>
    <s v="Jamie Kunitz"/>
    <s v="Consumer"/>
    <x v="0"/>
    <x v="7"/>
    <x v="8"/>
    <n v="1702.12"/>
  </r>
  <r>
    <d v="2019-11-01T00:00:00"/>
    <s v="Thea Hudgings"/>
    <s v="Corporate"/>
    <x v="3"/>
    <x v="15"/>
    <x v="20"/>
    <n v="20.135999999999999"/>
  </r>
  <r>
    <d v="2019-11-01T00:00:00"/>
    <s v="Cindy Stewart"/>
    <s v="Consumer"/>
    <x v="0"/>
    <x v="7"/>
    <x v="10"/>
    <n v="168.1"/>
  </r>
  <r>
    <d v="2019-11-01T00:00:00"/>
    <s v="Nora Paige"/>
    <s v="Consumer"/>
    <x v="1"/>
    <x v="32"/>
    <x v="166"/>
    <n v="83.9"/>
  </r>
  <r>
    <d v="2019-11-03T00:00:00"/>
    <s v="Grant Thornton"/>
    <s v="Corporate"/>
    <x v="2"/>
    <x v="18"/>
    <x v="128"/>
    <n v="167.44"/>
  </r>
  <r>
    <d v="2019-11-05T00:00:00"/>
    <s v="Jill Fjeld"/>
    <s v="Consumer"/>
    <x v="2"/>
    <x v="18"/>
    <x v="89"/>
    <n v="499.584"/>
  </r>
  <r>
    <d v="2019-11-06T00:00:00"/>
    <s v="Pete Kriz"/>
    <s v="Consumer"/>
    <x v="3"/>
    <x v="17"/>
    <x v="22"/>
    <n v="100.94"/>
  </r>
  <r>
    <d v="2019-11-09T00:00:00"/>
    <s v="Michael Chen"/>
    <s v="Consumer"/>
    <x v="0"/>
    <x v="2"/>
    <x v="167"/>
    <n v="400.8"/>
  </r>
  <r>
    <d v="2019-11-10T00:00:00"/>
    <s v="Guy Armstrong"/>
    <s v="Consumer"/>
    <x v="0"/>
    <x v="7"/>
    <x v="10"/>
    <n v="10.89"/>
  </r>
  <r>
    <d v="2019-11-10T00:00:00"/>
    <s v="Brenda Bowman"/>
    <s v="Corporate"/>
    <x v="2"/>
    <x v="22"/>
    <x v="168"/>
    <n v="1158.1199999999999"/>
  </r>
  <r>
    <d v="2019-11-11T00:00:00"/>
    <s v="Maria Bertelson"/>
    <s v="Consumer"/>
    <x v="0"/>
    <x v="2"/>
    <x v="169"/>
    <n v="76.12"/>
  </r>
  <r>
    <d v="2019-11-12T00:00:00"/>
    <s v="Maria Etezadi"/>
    <s v="Home Office"/>
    <x v="1"/>
    <x v="3"/>
    <x v="4"/>
    <n v="9.3239999999999998"/>
  </r>
  <r>
    <d v="2019-11-16T00:00:00"/>
    <s v="Christine Sundaresam"/>
    <s v="Consumer"/>
    <x v="2"/>
    <x v="30"/>
    <x v="170"/>
    <n v="35.04"/>
  </r>
  <r>
    <d v="2019-11-17T00:00:00"/>
    <s v="Jim Sink"/>
    <s v="Corporate"/>
    <x v="2"/>
    <x v="22"/>
    <x v="171"/>
    <n v="389.05599999999998"/>
  </r>
  <r>
    <d v="2019-11-18T00:00:00"/>
    <s v="Justin Deggeller"/>
    <s v="Corporate"/>
    <x v="3"/>
    <x v="10"/>
    <x v="16"/>
    <n v="2504.7399999999998"/>
  </r>
  <r>
    <d v="2019-11-20T00:00:00"/>
    <s v="Barry Franz"/>
    <s v="Home Office"/>
    <x v="0"/>
    <x v="7"/>
    <x v="100"/>
    <n v="8.6199999999999992"/>
  </r>
  <r>
    <d v="2019-11-23T00:00:00"/>
    <s v="Jason Gross"/>
    <s v="Corporate"/>
    <x v="1"/>
    <x v="3"/>
    <x v="172"/>
    <n v="13.762"/>
  </r>
  <r>
    <d v="2019-11-24T00:00:00"/>
    <s v="Rose O'Brian"/>
    <s v="Consumer"/>
    <x v="1"/>
    <x v="3"/>
    <x v="4"/>
    <n v="67.84"/>
  </r>
  <r>
    <d v="2019-11-25T00:00:00"/>
    <s v="Corey Catlett"/>
    <s v="Corporate"/>
    <x v="3"/>
    <x v="9"/>
    <x v="12"/>
    <n v="52.271999999999998"/>
  </r>
  <r>
    <d v="2019-11-25T00:00:00"/>
    <s v="Corey Catlett"/>
    <s v="Corporate"/>
    <x v="3"/>
    <x v="9"/>
    <x v="12"/>
    <n v="213.136"/>
  </r>
  <r>
    <d v="2019-11-25T00:00:00"/>
    <s v="Frank Gastineau"/>
    <s v="Home Office"/>
    <x v="3"/>
    <x v="10"/>
    <x v="16"/>
    <n v="58.73"/>
  </r>
  <r>
    <d v="2019-11-26T00:00:00"/>
    <s v="Doug Bickford"/>
    <s v="Consumer"/>
    <x v="2"/>
    <x v="18"/>
    <x v="173"/>
    <n v="43.584000000000003"/>
  </r>
  <r>
    <d v="2019-11-29T00:00:00"/>
    <s v="Max Ludwig"/>
    <s v="Home Office"/>
    <x v="3"/>
    <x v="9"/>
    <x v="60"/>
    <n v="663.93600000000004"/>
  </r>
  <r>
    <d v="2019-11-30T00:00:00"/>
    <s v="Dianna Vittorini"/>
    <s v="Consumer"/>
    <x v="0"/>
    <x v="16"/>
    <x v="25"/>
    <n v="31.152000000000001"/>
  </r>
  <r>
    <d v="2019-12-01T00:00:00"/>
    <s v="Joy Smith"/>
    <s v="Consumer"/>
    <x v="1"/>
    <x v="3"/>
    <x v="4"/>
    <n v="294.62"/>
  </r>
  <r>
    <d v="2019-12-01T00:00:00"/>
    <s v="Alice McCarthy"/>
    <s v="Corporate"/>
    <x v="0"/>
    <x v="7"/>
    <x v="10"/>
    <n v="79.47"/>
  </r>
  <r>
    <d v="2019-12-01T00:00:00"/>
    <s v="Kunst Miller"/>
    <s v="Consumer"/>
    <x v="3"/>
    <x v="12"/>
    <x v="174"/>
    <n v="286.86"/>
  </r>
  <r>
    <d v="2019-12-02T00:00:00"/>
    <s v="Matt Collins"/>
    <s v="Consumer"/>
    <x v="2"/>
    <x v="18"/>
    <x v="89"/>
    <n v="45.216000000000001"/>
  </r>
  <r>
    <d v="2019-12-04T00:00:00"/>
    <s v="Rob Beeghly"/>
    <s v="Consumer"/>
    <x v="1"/>
    <x v="27"/>
    <x v="12"/>
    <n v="61.44"/>
  </r>
  <r>
    <d v="2019-12-04T00:00:00"/>
    <s v="Suzanne McNair"/>
    <s v="Corporate"/>
    <x v="3"/>
    <x v="10"/>
    <x v="16"/>
    <n v="254.9"/>
  </r>
  <r>
    <d v="2019-12-06T00:00:00"/>
    <s v="Brosina Hoffman"/>
    <s v="Consumer"/>
    <x v="2"/>
    <x v="6"/>
    <x v="175"/>
    <n v="320.64"/>
  </r>
  <r>
    <d v="2019-12-07T00:00:00"/>
    <s v="Alan Schoenberger"/>
    <s v="Corporate"/>
    <x v="0"/>
    <x v="7"/>
    <x v="8"/>
    <n v="69.48"/>
  </r>
  <r>
    <d v="2019-12-07T00:00:00"/>
    <s v="Jeremy Pistek"/>
    <s v="Consumer"/>
    <x v="1"/>
    <x v="26"/>
    <x v="176"/>
    <n v="1089.75"/>
  </r>
  <r>
    <d v="2019-12-08T00:00:00"/>
    <s v="Alyssa Tate"/>
    <s v="Home Office"/>
    <x v="0"/>
    <x v="7"/>
    <x v="10"/>
    <n v="189"/>
  </r>
  <r>
    <d v="2019-12-08T00:00:00"/>
    <s v="John Lee"/>
    <s v="Consumer"/>
    <x v="2"/>
    <x v="4"/>
    <x v="5"/>
    <n v="214.9"/>
  </r>
  <r>
    <d v="2019-12-09T00:00:00"/>
    <s v="Chris Cortes"/>
    <s v="Consumer"/>
    <x v="3"/>
    <x v="21"/>
    <x v="40"/>
    <n v="426.79"/>
  </r>
  <r>
    <d v="2019-12-10T00:00:00"/>
    <s v="Dennis Kane"/>
    <s v="Consumer"/>
    <x v="1"/>
    <x v="3"/>
    <x v="177"/>
    <n v="1.3919999999999999"/>
  </r>
  <r>
    <d v="2019-12-14T00:00:00"/>
    <s v="Khloe Miller"/>
    <s v="Consumer"/>
    <x v="0"/>
    <x v="7"/>
    <x v="157"/>
    <n v="54.32"/>
  </r>
  <r>
    <d v="2019-12-16T00:00:00"/>
    <s v="Logan Currie"/>
    <s v="Consumer"/>
    <x v="1"/>
    <x v="3"/>
    <x v="3"/>
    <n v="66.284000000000006"/>
  </r>
  <r>
    <d v="2019-12-17T00:00:00"/>
    <s v="Doug Jacobs"/>
    <s v="Consumer"/>
    <x v="3"/>
    <x v="10"/>
    <x v="16"/>
    <n v="1704.56"/>
  </r>
  <r>
    <d v="2019-12-17T00:00:00"/>
    <s v="Beth Paige"/>
    <s v="Consumer"/>
    <x v="3"/>
    <x v="9"/>
    <x v="12"/>
    <n v="130.11199999999999"/>
  </r>
  <r>
    <d v="2019-12-21T00:00:00"/>
    <s v="Sandra Glassco"/>
    <s v="Consumer"/>
    <x v="1"/>
    <x v="32"/>
    <x v="178"/>
    <n v="839.43"/>
  </r>
  <r>
    <d v="2019-12-21T00:00:00"/>
    <s v="Jack Lebron"/>
    <s v="Consumer"/>
    <x v="2"/>
    <x v="25"/>
    <x v="7"/>
    <n v="59.24"/>
  </r>
  <r>
    <d v="2019-12-22T00:00:00"/>
    <s v="Michael Moore"/>
    <s v="Consumer"/>
    <x v="1"/>
    <x v="3"/>
    <x v="179"/>
    <n v="29.312000000000001"/>
  </r>
  <r>
    <d v="2019-12-23T00:00:00"/>
    <s v="Roy FranzÃ¶sisch"/>
    <s v="Consumer"/>
    <x v="3"/>
    <x v="10"/>
    <x v="16"/>
    <n v="35.909999999999997"/>
  </r>
  <r>
    <d v="2019-12-29T00:00:00"/>
    <s v="Chuck Clark"/>
    <s v="Home Office"/>
    <x v="1"/>
    <x v="27"/>
    <x v="12"/>
    <n v="209.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47F448-A4CD-48AD-BF20-6095BD5959E7}" name="PivotTable2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J3:N358" firstHeaderRow="1" firstDataRow="2" firstDataCol="1" rowPageCount="1" colPageCount="1"/>
  <pivotFields count="7">
    <pivotField numFmtId="14" showAll="0"/>
    <pivotField axis="axisRow" showAll="0">
      <items count="355">
        <item x="169"/>
        <item x="316"/>
        <item x="80"/>
        <item x="242"/>
        <item x="342"/>
        <item x="191"/>
        <item x="213"/>
        <item x="142"/>
        <item x="8"/>
        <item x="338"/>
        <item x="344"/>
        <item x="140"/>
        <item x="12"/>
        <item x="302"/>
        <item x="291"/>
        <item x="181"/>
        <item x="147"/>
        <item x="83"/>
        <item x="224"/>
        <item x="150"/>
        <item x="160"/>
        <item x="239"/>
        <item x="186"/>
        <item x="148"/>
        <item x="85"/>
        <item x="31"/>
        <item x="172"/>
        <item x="330"/>
        <item x="269"/>
        <item x="307"/>
        <item x="220"/>
        <item x="40"/>
        <item x="192"/>
        <item x="79"/>
        <item x="90"/>
        <item x="74"/>
        <item x="287"/>
        <item x="350"/>
        <item x="11"/>
        <item x="13"/>
        <item x="98"/>
        <item x="22"/>
        <item x="178"/>
        <item x="44"/>
        <item x="159"/>
        <item x="157"/>
        <item x="6"/>
        <item x="256"/>
        <item x="145"/>
        <item x="122"/>
        <item x="57"/>
        <item x="51"/>
        <item x="173"/>
        <item x="14"/>
        <item x="23"/>
        <item x="32"/>
        <item x="312"/>
        <item x="290"/>
        <item x="245"/>
        <item x="161"/>
        <item x="262"/>
        <item x="202"/>
        <item x="236"/>
        <item x="304"/>
        <item x="187"/>
        <item x="200"/>
        <item x="277"/>
        <item x="184"/>
        <item x="345"/>
        <item x="266"/>
        <item x="38"/>
        <item x="177"/>
        <item x="353"/>
        <item x="305"/>
        <item x="319"/>
        <item x="258"/>
        <item x="182"/>
        <item x="333"/>
        <item x="24"/>
        <item x="87"/>
        <item x="53"/>
        <item x="205"/>
        <item x="47"/>
        <item x="82"/>
        <item x="179"/>
        <item x="274"/>
        <item x="294"/>
        <item x="164"/>
        <item x="299"/>
        <item x="61"/>
        <item x="56"/>
        <item x="151"/>
        <item x="48"/>
        <item x="311"/>
        <item x="171"/>
        <item x="189"/>
        <item x="0"/>
        <item x="167"/>
        <item x="62"/>
        <item x="210"/>
        <item x="143"/>
        <item x="346"/>
        <item x="41"/>
        <item x="118"/>
        <item x="91"/>
        <item x="54"/>
        <item x="336"/>
        <item x="20"/>
        <item x="310"/>
        <item x="308"/>
        <item x="285"/>
        <item x="334"/>
        <item x="349"/>
        <item x="37"/>
        <item x="123"/>
        <item x="113"/>
        <item x="289"/>
        <item x="156"/>
        <item x="110"/>
        <item x="296"/>
        <item x="137"/>
        <item x="162"/>
        <item x="144"/>
        <item x="183"/>
        <item x="234"/>
        <item x="5"/>
        <item x="219"/>
        <item x="16"/>
        <item x="226"/>
        <item x="251"/>
        <item x="120"/>
        <item x="132"/>
        <item x="211"/>
        <item x="170"/>
        <item x="101"/>
        <item x="264"/>
        <item x="321"/>
        <item x="314"/>
        <item x="17"/>
        <item x="325"/>
        <item x="146"/>
        <item x="29"/>
        <item x="267"/>
        <item x="215"/>
        <item x="201"/>
        <item x="204"/>
        <item x="128"/>
        <item x="59"/>
        <item x="96"/>
        <item x="275"/>
        <item x="295"/>
        <item x="86"/>
        <item x="66"/>
        <item x="317"/>
        <item x="18"/>
        <item x="246"/>
        <item x="331"/>
        <item x="263"/>
        <item x="250"/>
        <item x="154"/>
        <item x="46"/>
        <item x="129"/>
        <item x="207"/>
        <item x="293"/>
        <item x="343"/>
        <item x="271"/>
        <item x="322"/>
        <item x="303"/>
        <item x="158"/>
        <item x="221"/>
        <item x="328"/>
        <item x="209"/>
        <item x="109"/>
        <item x="131"/>
        <item x="249"/>
        <item x="103"/>
        <item x="155"/>
        <item x="235"/>
        <item x="73"/>
        <item x="208"/>
        <item x="153"/>
        <item x="337"/>
        <item x="89"/>
        <item x="255"/>
        <item x="329"/>
        <item x="112"/>
        <item x="39"/>
        <item x="288"/>
        <item x="270"/>
        <item x="259"/>
        <item x="27"/>
        <item x="115"/>
        <item x="309"/>
        <item x="214"/>
        <item x="55"/>
        <item x="237"/>
        <item x="261"/>
        <item x="199"/>
        <item x="347"/>
        <item x="281"/>
        <item x="135"/>
        <item x="133"/>
        <item x="339"/>
        <item x="225"/>
        <item x="19"/>
        <item x="165"/>
        <item x="35"/>
        <item x="88"/>
        <item x="217"/>
        <item x="257"/>
        <item x="348"/>
        <item x="238"/>
        <item x="30"/>
        <item x="70"/>
        <item x="326"/>
        <item x="327"/>
        <item x="64"/>
        <item x="2"/>
        <item x="283"/>
        <item x="7"/>
        <item x="253"/>
        <item x="65"/>
        <item x="36"/>
        <item x="72"/>
        <item x="194"/>
        <item x="231"/>
        <item x="301"/>
        <item x="195"/>
        <item x="81"/>
        <item x="203"/>
        <item x="190"/>
        <item x="335"/>
        <item x="206"/>
        <item x="324"/>
        <item x="282"/>
        <item x="212"/>
        <item x="352"/>
        <item x="3"/>
        <item x="92"/>
        <item x="49"/>
        <item x="276"/>
        <item x="244"/>
        <item x="241"/>
        <item x="50"/>
        <item x="125"/>
        <item x="121"/>
        <item x="93"/>
        <item x="230"/>
        <item x="25"/>
        <item x="111"/>
        <item x="313"/>
        <item x="284"/>
        <item x="315"/>
        <item x="52"/>
        <item x="254"/>
        <item x="117"/>
        <item x="320"/>
        <item x="63"/>
        <item x="197"/>
        <item x="102"/>
        <item x="141"/>
        <item x="298"/>
        <item x="297"/>
        <item x="223"/>
        <item x="10"/>
        <item x="163"/>
        <item x="265"/>
        <item x="323"/>
        <item x="95"/>
        <item x="139"/>
        <item x="222"/>
        <item x="21"/>
        <item x="152"/>
        <item x="15"/>
        <item x="193"/>
        <item x="248"/>
        <item x="45"/>
        <item x="84"/>
        <item x="34"/>
        <item x="114"/>
        <item x="280"/>
        <item x="196"/>
        <item x="127"/>
        <item x="340"/>
        <item x="9"/>
        <item x="138"/>
        <item x="198"/>
        <item x="134"/>
        <item x="247"/>
        <item x="292"/>
        <item x="279"/>
        <item x="332"/>
        <item x="188"/>
        <item x="174"/>
        <item x="130"/>
        <item x="68"/>
        <item x="106"/>
        <item x="243"/>
        <item x="273"/>
        <item x="4"/>
        <item x="232"/>
        <item x="43"/>
        <item x="351"/>
        <item x="97"/>
        <item x="69"/>
        <item x="77"/>
        <item x="268"/>
        <item x="228"/>
        <item x="260"/>
        <item x="306"/>
        <item x="126"/>
        <item x="71"/>
        <item x="107"/>
        <item x="272"/>
        <item x="28"/>
        <item x="300"/>
        <item x="175"/>
        <item x="124"/>
        <item x="42"/>
        <item x="166"/>
        <item x="240"/>
        <item x="216"/>
        <item x="185"/>
        <item x="108"/>
        <item x="227"/>
        <item x="341"/>
        <item x="149"/>
        <item x="119"/>
        <item x="168"/>
        <item x="176"/>
        <item x="318"/>
        <item x="99"/>
        <item x="100"/>
        <item x="67"/>
        <item x="136"/>
        <item x="78"/>
        <item x="218"/>
        <item x="26"/>
        <item x="278"/>
        <item x="252"/>
        <item x="105"/>
        <item x="75"/>
        <item x="60"/>
        <item x="229"/>
        <item x="116"/>
        <item x="104"/>
        <item x="33"/>
        <item x="94"/>
        <item x="233"/>
        <item x="180"/>
        <item x="76"/>
        <item x="1"/>
        <item x="58"/>
        <item x="286"/>
        <item t="default"/>
      </items>
    </pivotField>
    <pivotField axis="axisPage" showAll="0">
      <items count="4">
        <item x="1"/>
        <item x="0"/>
        <item x="2"/>
        <item t="default"/>
      </items>
    </pivotField>
    <pivotField axis="axisCol" showAll="0">
      <items count="5">
        <item x="1"/>
        <item x="3"/>
        <item x="2"/>
        <item x="0"/>
        <item t="default"/>
      </items>
    </pivotField>
    <pivotField showAll="0"/>
    <pivotField showAll="0"/>
    <pivotField dataField="1" showAll="0"/>
  </pivotFields>
  <rowFields count="1">
    <field x="1"/>
  </rowFields>
  <rowItems count="3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</rowItems>
  <colFields count="1">
    <field x="3"/>
  </colFields>
  <colItems count="4">
    <i>
      <x/>
    </i>
    <i>
      <x v="1"/>
    </i>
    <i>
      <x v="2"/>
    </i>
    <i>
      <x v="3"/>
    </i>
  </colItems>
  <pageFields count="1">
    <pageField fld="2" hier="-1"/>
  </pageFields>
  <dataFields count="1">
    <dataField name="Sum of Sales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12054C-7FA8-4ECD-9230-0F9FD6C7CF2C}" name="PivotTable2" cacheId="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E3:F202" firstHeaderRow="1" firstDataRow="1" firstDataCol="2" rowPageCount="1" colPageCount="1"/>
  <pivotFields count="7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1"/>
        <item x="3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x="33"/>
        <item x="28"/>
        <item x="7"/>
        <item x="16"/>
        <item x="21"/>
        <item x="17"/>
        <item x="22"/>
        <item x="8"/>
        <item x="38"/>
        <item x="13"/>
        <item x="27"/>
        <item x="35"/>
        <item x="4"/>
        <item x="34"/>
        <item x="20"/>
        <item x="29"/>
        <item x="12"/>
        <item x="1"/>
        <item x="5"/>
        <item x="6"/>
        <item x="32"/>
        <item x="24"/>
        <item x="31"/>
        <item x="11"/>
        <item x="23"/>
        <item x="10"/>
        <item x="18"/>
        <item x="9"/>
        <item x="14"/>
        <item x="0"/>
        <item x="15"/>
        <item x="39"/>
        <item x="37"/>
        <item x="25"/>
        <item x="3"/>
        <item x="19"/>
        <item x="36"/>
        <item x="30"/>
        <item x="2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0">
        <item x="177"/>
        <item x="121"/>
        <item x="75"/>
        <item x="112"/>
        <item x="86"/>
        <item x="173"/>
        <item x="9"/>
        <item x="70"/>
        <item x="21"/>
        <item x="93"/>
        <item x="161"/>
        <item x="67"/>
        <item x="27"/>
        <item x="102"/>
        <item x="52"/>
        <item x="69"/>
        <item x="47"/>
        <item x="111"/>
        <item x="71"/>
        <item x="128"/>
        <item x="61"/>
        <item x="35"/>
        <item x="24"/>
        <item x="78"/>
        <item x="17"/>
        <item x="162"/>
        <item x="39"/>
        <item x="108"/>
        <item x="34"/>
        <item x="88"/>
        <item x="179"/>
        <item x="87"/>
        <item x="49"/>
        <item x="12"/>
        <item x="57"/>
        <item x="109"/>
        <item x="165"/>
        <item x="3"/>
        <item x="83"/>
        <item x="99"/>
        <item x="25"/>
        <item x="18"/>
        <item x="14"/>
        <item x="84"/>
        <item x="41"/>
        <item x="127"/>
        <item x="40"/>
        <item x="89"/>
        <item x="149"/>
        <item x="168"/>
        <item x="42"/>
        <item x="64"/>
        <item x="119"/>
        <item x="120"/>
        <item x="48"/>
        <item x="160"/>
        <item x="122"/>
        <item x="50"/>
        <item x="96"/>
        <item x="79"/>
        <item x="175"/>
        <item x="54"/>
        <item x="116"/>
        <item x="32"/>
        <item x="4"/>
        <item x="126"/>
        <item x="178"/>
        <item x="115"/>
        <item x="157"/>
        <item x="104"/>
        <item x="7"/>
        <item x="56"/>
        <item x="45"/>
        <item x="103"/>
        <item x="53"/>
        <item x="105"/>
        <item x="113"/>
        <item x="153"/>
        <item x="6"/>
        <item x="164"/>
        <item x="38"/>
        <item x="58"/>
        <item x="81"/>
        <item x="146"/>
        <item x="15"/>
        <item x="19"/>
        <item x="117"/>
        <item x="33"/>
        <item x="169"/>
        <item x="10"/>
        <item x="145"/>
        <item x="174"/>
        <item x="176"/>
        <item x="76"/>
        <item x="154"/>
        <item x="28"/>
        <item x="163"/>
        <item x="74"/>
        <item x="46"/>
        <item x="31"/>
        <item x="63"/>
        <item x="62"/>
        <item x="131"/>
        <item x="171"/>
        <item x="94"/>
        <item x="51"/>
        <item x="82"/>
        <item x="144"/>
        <item x="135"/>
        <item x="133"/>
        <item x="148"/>
        <item x="55"/>
        <item x="16"/>
        <item x="22"/>
        <item x="59"/>
        <item x="155"/>
        <item x="172"/>
        <item x="110"/>
        <item x="37"/>
        <item x="43"/>
        <item x="114"/>
        <item x="100"/>
        <item x="167"/>
        <item x="95"/>
        <item x="73"/>
        <item x="147"/>
        <item x="101"/>
        <item x="20"/>
        <item x="65"/>
        <item x="140"/>
        <item x="26"/>
        <item x="139"/>
        <item x="158"/>
        <item x="159"/>
        <item x="66"/>
        <item x="137"/>
        <item x="142"/>
        <item x="68"/>
        <item x="72"/>
        <item x="5"/>
        <item x="85"/>
        <item x="129"/>
        <item x="80"/>
        <item x="132"/>
        <item x="166"/>
        <item x="106"/>
        <item x="170"/>
        <item x="118"/>
        <item x="23"/>
        <item x="29"/>
        <item x="8"/>
        <item x="11"/>
        <item x="107"/>
        <item x="143"/>
        <item x="134"/>
        <item x="98"/>
        <item x="90"/>
        <item x="2"/>
        <item x="92"/>
        <item x="151"/>
        <item x="136"/>
        <item x="0"/>
        <item x="150"/>
        <item x="97"/>
        <item x="156"/>
        <item x="123"/>
        <item x="36"/>
        <item x="60"/>
        <item x="130"/>
        <item x="30"/>
        <item x="138"/>
        <item x="124"/>
        <item x="77"/>
        <item x="13"/>
        <item x="44"/>
        <item x="91"/>
        <item x="1"/>
        <item x="152"/>
        <item x="125"/>
        <item x="1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rowItems count="199">
    <i>
      <x/>
      <x v="39"/>
    </i>
    <i>
      <x v="1"/>
      <x v="97"/>
    </i>
    <i r="1">
      <x v="128"/>
    </i>
    <i r="1">
      <x v="156"/>
    </i>
    <i r="1">
      <x v="158"/>
    </i>
    <i>
      <x v="2"/>
      <x v="1"/>
    </i>
    <i r="1">
      <x v="10"/>
    </i>
    <i r="1">
      <x v="16"/>
    </i>
    <i r="1">
      <x v="25"/>
    </i>
    <i r="1">
      <x v="54"/>
    </i>
    <i r="1">
      <x v="68"/>
    </i>
    <i r="1">
      <x v="77"/>
    </i>
    <i r="1">
      <x v="89"/>
    </i>
    <i r="1">
      <x v="104"/>
    </i>
    <i r="1">
      <x v="105"/>
    </i>
    <i r="1">
      <x v="115"/>
    </i>
    <i r="1">
      <x v="121"/>
    </i>
    <i r="1">
      <x v="136"/>
    </i>
    <i r="1">
      <x v="140"/>
    </i>
    <i r="1">
      <x v="149"/>
    </i>
    <i r="1">
      <x v="150"/>
    </i>
    <i r="1">
      <x v="151"/>
    </i>
    <i r="1">
      <x v="152"/>
    </i>
    <i r="1">
      <x v="154"/>
    </i>
    <i r="1">
      <x v="155"/>
    </i>
    <i r="1">
      <x v="168"/>
    </i>
    <i r="1">
      <x v="177"/>
    </i>
    <i>
      <x v="3"/>
      <x v="8"/>
    </i>
    <i r="1">
      <x v="31"/>
    </i>
    <i r="1">
      <x v="40"/>
    </i>
    <i r="1">
      <x v="134"/>
    </i>
    <i>
      <x v="4"/>
      <x v="18"/>
    </i>
    <i r="1">
      <x v="46"/>
    </i>
    <i r="1">
      <x v="95"/>
    </i>
    <i r="1">
      <x v="114"/>
    </i>
    <i>
      <x v="5"/>
      <x v="113"/>
    </i>
    <i>
      <x v="6"/>
      <x v="3"/>
    </i>
    <i r="1">
      <x v="34"/>
    </i>
    <i r="1">
      <x v="49"/>
    </i>
    <i r="1">
      <x v="62"/>
    </i>
    <i r="1">
      <x v="63"/>
    </i>
    <i r="1">
      <x v="71"/>
    </i>
    <i r="1">
      <x v="99"/>
    </i>
    <i r="1">
      <x v="103"/>
    </i>
    <i r="1">
      <x v="125"/>
    </i>
    <i r="1">
      <x v="131"/>
    </i>
    <i r="1">
      <x v="132"/>
    </i>
    <i r="1">
      <x v="164"/>
    </i>
    <i r="1">
      <x v="165"/>
    </i>
    <i r="1">
      <x v="166"/>
    </i>
    <i>
      <x v="7"/>
      <x v="6"/>
    </i>
    <i r="1">
      <x v="7"/>
    </i>
    <i r="1">
      <x v="33"/>
    </i>
    <i r="1">
      <x v="143"/>
    </i>
    <i r="1">
      <x v="153"/>
    </i>
    <i>
      <x v="8"/>
      <x v="96"/>
    </i>
    <i>
      <x v="9"/>
      <x v="8"/>
    </i>
    <i r="1">
      <x v="15"/>
    </i>
    <i r="1">
      <x v="24"/>
    </i>
    <i r="1">
      <x v="51"/>
    </i>
    <i>
      <x v="10"/>
      <x v="33"/>
    </i>
    <i r="1">
      <x v="67"/>
    </i>
    <i r="1">
      <x v="76"/>
    </i>
    <i r="1">
      <x v="84"/>
    </i>
    <i r="1">
      <x v="111"/>
    </i>
    <i r="1">
      <x v="139"/>
    </i>
    <i>
      <x v="11"/>
      <x v="178"/>
    </i>
    <i>
      <x v="12"/>
      <x v="48"/>
    </i>
    <i r="1">
      <x v="55"/>
    </i>
    <i r="1">
      <x v="61"/>
    </i>
    <i r="1">
      <x v="90"/>
    </i>
    <i r="1">
      <x v="108"/>
    </i>
    <i r="1">
      <x v="139"/>
    </i>
    <i>
      <x v="13"/>
      <x v="73"/>
    </i>
    <i>
      <x v="14"/>
      <x v="12"/>
    </i>
    <i>
      <x v="15"/>
      <x v="11"/>
    </i>
    <i r="1">
      <x v="29"/>
    </i>
    <i r="1">
      <x v="32"/>
    </i>
    <i r="1">
      <x v="83"/>
    </i>
    <i>
      <x v="16"/>
      <x v="14"/>
    </i>
    <i r="1">
      <x v="52"/>
    </i>
    <i r="1">
      <x v="84"/>
    </i>
    <i r="1">
      <x v="91"/>
    </i>
    <i r="1">
      <x v="138"/>
    </i>
    <i>
      <x v="17"/>
      <x v="2"/>
    </i>
    <i r="1">
      <x v="38"/>
    </i>
    <i r="1">
      <x v="41"/>
    </i>
    <i r="1">
      <x v="70"/>
    </i>
    <i r="1">
      <x v="81"/>
    </i>
    <i r="1">
      <x v="86"/>
    </i>
    <i r="1">
      <x v="100"/>
    </i>
    <i r="1">
      <x v="169"/>
    </i>
    <i r="1">
      <x v="176"/>
    </i>
    <i>
      <x v="18"/>
      <x v="78"/>
    </i>
    <i r="1">
      <x v="102"/>
    </i>
    <i r="1">
      <x v="142"/>
    </i>
    <i r="1">
      <x v="145"/>
    </i>
    <i>
      <x v="19"/>
      <x v="60"/>
    </i>
    <i r="1">
      <x v="70"/>
    </i>
    <i r="1">
      <x v="160"/>
    </i>
    <i>
      <x v="20"/>
      <x v="32"/>
    </i>
    <i r="1">
      <x v="66"/>
    </i>
    <i r="1">
      <x v="144"/>
    </i>
    <i r="1">
      <x v="161"/>
    </i>
    <i>
      <x v="21"/>
      <x v="53"/>
    </i>
    <i r="1">
      <x v="118"/>
    </i>
    <i>
      <x v="22"/>
      <x v="82"/>
    </i>
    <i>
      <x v="23"/>
      <x v="42"/>
    </i>
    <i>
      <x v="24"/>
      <x v="17"/>
    </i>
    <i r="1">
      <x v="28"/>
    </i>
    <i r="1">
      <x v="106"/>
    </i>
    <i r="1">
      <x v="119"/>
    </i>
    <i r="1">
      <x v="123"/>
    </i>
    <i r="1">
      <x v="124"/>
    </i>
    <i r="1">
      <x v="126"/>
    </i>
    <i r="1">
      <x v="129"/>
    </i>
    <i r="1">
      <x v="171"/>
    </i>
    <i>
      <x v="25"/>
      <x v="87"/>
    </i>
    <i r="1">
      <x v="107"/>
    </i>
    <i r="1">
      <x v="112"/>
    </i>
    <i r="1">
      <x v="141"/>
    </i>
    <i r="1">
      <x v="173"/>
    </i>
    <i>
      <x v="26"/>
      <x v="5"/>
    </i>
    <i r="1">
      <x v="19"/>
    </i>
    <i r="1">
      <x v="21"/>
    </i>
    <i r="1">
      <x v="22"/>
    </i>
    <i r="1">
      <x v="43"/>
    </i>
    <i r="1">
      <x v="47"/>
    </i>
    <i r="1">
      <x v="56"/>
    </i>
    <i r="1">
      <x v="71"/>
    </i>
    <i r="1">
      <x v="135"/>
    </i>
    <i r="1">
      <x v="179"/>
    </i>
    <i>
      <x v="27"/>
      <x v="27"/>
    </i>
    <i r="1">
      <x v="33"/>
    </i>
    <i r="1">
      <x v="46"/>
    </i>
    <i r="1">
      <x v="58"/>
    </i>
    <i r="1">
      <x v="74"/>
    </i>
    <i r="1">
      <x v="79"/>
    </i>
    <i r="1">
      <x v="80"/>
    </i>
    <i r="1">
      <x v="120"/>
    </i>
    <i r="1">
      <x v="161"/>
    </i>
    <i r="1">
      <x v="167"/>
    </i>
    <i>
      <x v="28"/>
      <x v="85"/>
    </i>
    <i r="1">
      <x v="109"/>
    </i>
    <i r="1">
      <x v="117"/>
    </i>
    <i>
      <x v="29"/>
      <x v="133"/>
    </i>
    <i r="1">
      <x v="137"/>
    </i>
    <i r="1">
      <x v="161"/>
    </i>
    <i>
      <x v="30"/>
      <x v="13"/>
    </i>
    <i r="1">
      <x v="127"/>
    </i>
    <i>
      <x v="31"/>
      <x v="36"/>
    </i>
    <i>
      <x v="32"/>
      <x v="159"/>
    </i>
    <i>
      <x v="33"/>
      <x v="26"/>
    </i>
    <i r="1">
      <x v="32"/>
    </i>
    <i r="1">
      <x v="52"/>
    </i>
    <i r="1">
      <x v="70"/>
    </i>
    <i r="1">
      <x v="72"/>
    </i>
    <i r="1">
      <x v="75"/>
    </i>
    <i r="1">
      <x v="94"/>
    </i>
    <i r="1">
      <x v="110"/>
    </i>
    <i>
      <x v="34"/>
      <x/>
    </i>
    <i r="1">
      <x v="4"/>
    </i>
    <i r="1">
      <x v="9"/>
    </i>
    <i r="1">
      <x v="20"/>
    </i>
    <i r="1">
      <x v="30"/>
    </i>
    <i r="1">
      <x v="37"/>
    </i>
    <i r="1">
      <x v="45"/>
    </i>
    <i r="1">
      <x v="50"/>
    </i>
    <i r="1">
      <x v="57"/>
    </i>
    <i r="1">
      <x v="64"/>
    </i>
    <i r="1">
      <x v="65"/>
    </i>
    <i r="1">
      <x v="69"/>
    </i>
    <i r="1">
      <x v="93"/>
    </i>
    <i r="1">
      <x v="98"/>
    </i>
    <i r="1">
      <x v="116"/>
    </i>
    <i r="1">
      <x v="121"/>
    </i>
    <i r="1">
      <x v="147"/>
    </i>
    <i r="1">
      <x v="148"/>
    </i>
    <i r="1">
      <x v="170"/>
    </i>
    <i>
      <x v="35"/>
      <x v="130"/>
    </i>
    <i>
      <x v="36"/>
      <x v="19"/>
    </i>
    <i>
      <x v="37"/>
      <x v="4"/>
    </i>
    <i r="1">
      <x v="23"/>
    </i>
    <i r="1">
      <x v="59"/>
    </i>
    <i r="1">
      <x v="139"/>
    </i>
    <i r="1">
      <x v="146"/>
    </i>
    <i r="1">
      <x v="161"/>
    </i>
    <i r="1">
      <x v="162"/>
    </i>
    <i r="1">
      <x v="172"/>
    </i>
    <i r="1">
      <x v="175"/>
    </i>
    <i>
      <x v="38"/>
      <x v="35"/>
    </i>
    <i r="1">
      <x v="44"/>
    </i>
    <i r="1">
      <x v="88"/>
    </i>
    <i r="1">
      <x v="122"/>
    </i>
    <i r="1">
      <x v="157"/>
    </i>
    <i>
      <x v="39"/>
      <x v="92"/>
    </i>
    <i r="1">
      <x v="101"/>
    </i>
    <i r="1">
      <x v="163"/>
    </i>
    <i r="1">
      <x v="174"/>
    </i>
  </rowItems>
  <colItems count="1">
    <i/>
  </colItems>
  <pageFields count="1"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FC5A6-A9FC-4601-9DC7-5556A9B90DDD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A3724-A2AE-44BA-97A2-2E9961CFB74D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A7221-C9EF-4749-B4AC-3912A865F1D7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37EF-ADDD-4292-956A-5D14FE82B537}">
  <sheetPr codeName="Sheet2"/>
  <dimension ref="A1:O463"/>
  <sheetViews>
    <sheetView tabSelected="1" zoomScale="70" zoomScaleNormal="70" workbookViewId="0">
      <selection activeCell="L14" sqref="L13:L14"/>
    </sheetView>
  </sheetViews>
  <sheetFormatPr defaultColWidth="10.36328125" defaultRowHeight="14.5" x14ac:dyDescent="0.35"/>
  <cols>
    <col min="1" max="1" width="11.6328125" style="2" customWidth="1"/>
    <col min="2" max="2" width="20.90625" style="3" bestFit="1" customWidth="1"/>
    <col min="3" max="3" width="16.7265625" style="3" bestFit="1" customWidth="1"/>
    <col min="4" max="4" width="12.08984375" style="3" customWidth="1"/>
    <col min="5" max="5" width="13.7265625" style="3" bestFit="1" customWidth="1"/>
    <col min="6" max="6" width="16" style="3" customWidth="1"/>
    <col min="7" max="9" width="10.36328125" style="3"/>
    <col min="10" max="10" width="20.6328125" style="3" bestFit="1" customWidth="1"/>
    <col min="11" max="11" width="16.453125" style="3" bestFit="1" customWidth="1"/>
    <col min="12" max="12" width="41" style="3" bestFit="1" customWidth="1"/>
    <col min="13" max="13" width="7.81640625" style="3" bestFit="1" customWidth="1"/>
    <col min="14" max="14" width="8.81640625" style="3" bestFit="1" customWidth="1"/>
    <col min="15" max="15" width="16.7265625" style="3" bestFit="1" customWidth="1"/>
    <col min="16" max="16384" width="10.36328125" style="3"/>
  </cols>
  <sheetData>
    <row r="1" spans="1:15" x14ac:dyDescent="0.35">
      <c r="A1" s="3"/>
      <c r="J1" s="1" t="s">
        <v>4</v>
      </c>
      <c r="K1" t="s">
        <v>0</v>
      </c>
      <c r="L1" s="7" t="s">
        <v>593</v>
      </c>
    </row>
    <row r="2" spans="1:15" x14ac:dyDescent="0.35">
      <c r="A2" s="7" t="s">
        <v>594</v>
      </c>
    </row>
    <row r="3" spans="1:15" x14ac:dyDescent="0.35">
      <c r="A3" s="3"/>
      <c r="J3" s="1" t="s">
        <v>591</v>
      </c>
      <c r="K3" s="1" t="s">
        <v>1</v>
      </c>
      <c r="L3"/>
      <c r="M3"/>
      <c r="N3"/>
      <c r="O3"/>
    </row>
    <row r="4" spans="1:15" x14ac:dyDescent="0.35">
      <c r="A4" s="5" t="s">
        <v>2</v>
      </c>
      <c r="B4" s="6" t="s">
        <v>3</v>
      </c>
      <c r="C4" s="6" t="s">
        <v>4</v>
      </c>
      <c r="D4" s="6" t="s">
        <v>5</v>
      </c>
      <c r="E4" s="6" t="s">
        <v>6</v>
      </c>
      <c r="F4" s="6" t="s">
        <v>7</v>
      </c>
      <c r="G4" s="6" t="s">
        <v>8</v>
      </c>
      <c r="J4" s="1" t="s">
        <v>590</v>
      </c>
      <c r="K4" t="s">
        <v>16</v>
      </c>
      <c r="L4" t="s">
        <v>49</v>
      </c>
      <c r="M4" t="s">
        <v>28</v>
      </c>
      <c r="N4" t="s">
        <v>11</v>
      </c>
      <c r="O4" s="4" t="s">
        <v>592</v>
      </c>
    </row>
    <row r="5" spans="1:15" x14ac:dyDescent="0.35">
      <c r="A5" s="2">
        <v>42386</v>
      </c>
      <c r="B5" s="3" t="s">
        <v>9</v>
      </c>
      <c r="C5" s="3" t="s">
        <v>10</v>
      </c>
      <c r="D5" s="3" t="s">
        <v>11</v>
      </c>
      <c r="E5" s="3" t="s">
        <v>12</v>
      </c>
      <c r="F5" s="3" t="s">
        <v>13</v>
      </c>
      <c r="G5" s="3">
        <v>64.864000000000004</v>
      </c>
      <c r="J5" s="3" t="s">
        <v>308</v>
      </c>
      <c r="K5" s="11"/>
      <c r="L5" s="11"/>
      <c r="M5" s="11">
        <v>160.32</v>
      </c>
      <c r="N5" s="11"/>
      <c r="O5">
        <f>AVERAGE(K5:N5)</f>
        <v>160.32</v>
      </c>
    </row>
    <row r="6" spans="1:15" x14ac:dyDescent="0.35">
      <c r="A6" s="2">
        <v>42388</v>
      </c>
      <c r="B6" s="3" t="s">
        <v>14</v>
      </c>
      <c r="C6" s="3" t="s">
        <v>15</v>
      </c>
      <c r="D6" s="3" t="s">
        <v>16</v>
      </c>
      <c r="E6" s="3" t="s">
        <v>17</v>
      </c>
      <c r="F6" s="3" t="s">
        <v>18</v>
      </c>
      <c r="G6" s="3">
        <v>247.71600000000001</v>
      </c>
      <c r="J6" s="3" t="s">
        <v>536</v>
      </c>
      <c r="K6" s="11"/>
      <c r="L6" s="11">
        <v>2.2200000000000002</v>
      </c>
      <c r="M6" s="11"/>
      <c r="N6" s="11"/>
      <c r="O6">
        <f t="shared" ref="O6:O69" si="0">AVERAGE(K6:N6)</f>
        <v>2.2200000000000002</v>
      </c>
    </row>
    <row r="7" spans="1:15" x14ac:dyDescent="0.35">
      <c r="A7" s="2">
        <v>42413</v>
      </c>
      <c r="B7" s="3" t="s">
        <v>19</v>
      </c>
      <c r="C7" s="3" t="s">
        <v>10</v>
      </c>
      <c r="D7" s="3" t="s">
        <v>11</v>
      </c>
      <c r="E7" s="3" t="s">
        <v>20</v>
      </c>
      <c r="F7" s="3" t="s">
        <v>21</v>
      </c>
      <c r="G7" s="3">
        <v>81.96</v>
      </c>
      <c r="J7" s="3" t="s">
        <v>175</v>
      </c>
      <c r="K7" s="11"/>
      <c r="L7" s="11"/>
      <c r="M7" s="11"/>
      <c r="N7" s="11">
        <v>13.97</v>
      </c>
      <c r="O7">
        <f t="shared" si="0"/>
        <v>13.97</v>
      </c>
    </row>
    <row r="8" spans="1:15" x14ac:dyDescent="0.35">
      <c r="A8" s="2">
        <v>42415</v>
      </c>
      <c r="B8" s="3" t="s">
        <v>22</v>
      </c>
      <c r="C8" s="3" t="s">
        <v>15</v>
      </c>
      <c r="D8" s="3" t="s">
        <v>16</v>
      </c>
      <c r="E8" s="3" t="s">
        <v>23</v>
      </c>
      <c r="F8" s="3" t="s">
        <v>24</v>
      </c>
      <c r="G8" s="3">
        <v>7.96</v>
      </c>
      <c r="J8" s="3" t="s">
        <v>416</v>
      </c>
      <c r="K8" s="11"/>
      <c r="L8" s="11"/>
      <c r="M8" s="11">
        <v>194.52799999999999</v>
      </c>
      <c r="N8" s="11"/>
      <c r="O8">
        <f t="shared" si="0"/>
        <v>194.52799999999999</v>
      </c>
    </row>
    <row r="9" spans="1:15" x14ac:dyDescent="0.35">
      <c r="A9" s="2">
        <v>42430</v>
      </c>
      <c r="B9" s="3" t="s">
        <v>25</v>
      </c>
      <c r="C9" s="3" t="s">
        <v>15</v>
      </c>
      <c r="D9" s="3" t="s">
        <v>16</v>
      </c>
      <c r="E9" s="3" t="s">
        <v>23</v>
      </c>
      <c r="F9" s="3" t="s">
        <v>26</v>
      </c>
      <c r="G9" s="3">
        <v>176.77199999999999</v>
      </c>
      <c r="J9" s="3" t="s">
        <v>574</v>
      </c>
      <c r="K9" s="11"/>
      <c r="L9" s="11"/>
      <c r="M9" s="11"/>
      <c r="N9" s="11">
        <v>69.48</v>
      </c>
      <c r="O9">
        <f t="shared" si="0"/>
        <v>69.48</v>
      </c>
    </row>
    <row r="10" spans="1:15" x14ac:dyDescent="0.35">
      <c r="A10" s="2">
        <v>42438</v>
      </c>
      <c r="B10" s="3" t="s">
        <v>27</v>
      </c>
      <c r="C10" s="3" t="s">
        <v>10</v>
      </c>
      <c r="D10" s="3" t="s">
        <v>28</v>
      </c>
      <c r="E10" s="3" t="s">
        <v>29</v>
      </c>
      <c r="F10" s="3" t="s">
        <v>30</v>
      </c>
      <c r="G10" s="3">
        <v>146.76</v>
      </c>
      <c r="J10" s="3" t="s">
        <v>342</v>
      </c>
      <c r="K10" s="11"/>
      <c r="L10" s="11"/>
      <c r="M10" s="11"/>
      <c r="N10" s="11">
        <v>60.81</v>
      </c>
      <c r="O10">
        <f t="shared" si="0"/>
        <v>60.81</v>
      </c>
    </row>
    <row r="11" spans="1:15" x14ac:dyDescent="0.35">
      <c r="A11" s="2">
        <v>42444</v>
      </c>
      <c r="B11" s="3" t="s">
        <v>31</v>
      </c>
      <c r="C11" s="3" t="s">
        <v>15</v>
      </c>
      <c r="D11" s="3" t="s">
        <v>16</v>
      </c>
      <c r="E11" s="3" t="s">
        <v>32</v>
      </c>
      <c r="F11" s="3" t="s">
        <v>33</v>
      </c>
      <c r="G11" s="3">
        <v>93.78</v>
      </c>
      <c r="J11" s="3" t="s">
        <v>371</v>
      </c>
      <c r="K11" s="11">
        <v>378</v>
      </c>
      <c r="L11" s="11"/>
      <c r="M11" s="11"/>
      <c r="N11" s="11"/>
      <c r="O11">
        <f t="shared" si="0"/>
        <v>378</v>
      </c>
    </row>
    <row r="12" spans="1:15" x14ac:dyDescent="0.35">
      <c r="A12" s="2">
        <v>42444</v>
      </c>
      <c r="B12" s="3" t="s">
        <v>34</v>
      </c>
      <c r="C12" s="3" t="s">
        <v>10</v>
      </c>
      <c r="D12" s="3" t="s">
        <v>28</v>
      </c>
      <c r="E12" s="3" t="s">
        <v>35</v>
      </c>
      <c r="F12" s="3" t="s">
        <v>36</v>
      </c>
      <c r="G12" s="3">
        <v>32.67</v>
      </c>
      <c r="J12" s="3" t="s">
        <v>270</v>
      </c>
      <c r="K12" s="11"/>
      <c r="L12" s="11"/>
      <c r="M12" s="11"/>
      <c r="N12" s="11">
        <v>31.08</v>
      </c>
      <c r="O12">
        <f t="shared" si="0"/>
        <v>31.08</v>
      </c>
    </row>
    <row r="13" spans="1:15" x14ac:dyDescent="0.35">
      <c r="A13" s="2">
        <v>42458</v>
      </c>
      <c r="B13" s="3" t="s">
        <v>37</v>
      </c>
      <c r="C13" s="3" t="s">
        <v>15</v>
      </c>
      <c r="D13" s="3" t="s">
        <v>11</v>
      </c>
      <c r="E13" s="3" t="s">
        <v>38</v>
      </c>
      <c r="F13" s="3" t="s">
        <v>39</v>
      </c>
      <c r="G13" s="3">
        <v>52.98</v>
      </c>
      <c r="J13" s="3" t="s">
        <v>37</v>
      </c>
      <c r="K13" s="11">
        <v>362.94</v>
      </c>
      <c r="L13" s="11"/>
      <c r="M13" s="11"/>
      <c r="N13" s="11">
        <v>52.98</v>
      </c>
      <c r="O13">
        <f t="shared" si="0"/>
        <v>207.96</v>
      </c>
    </row>
    <row r="14" spans="1:15" x14ac:dyDescent="0.35">
      <c r="A14" s="2">
        <v>42460</v>
      </c>
      <c r="B14" s="3" t="s">
        <v>40</v>
      </c>
      <c r="C14" s="3" t="s">
        <v>15</v>
      </c>
      <c r="D14" s="3" t="s">
        <v>28</v>
      </c>
      <c r="E14" s="3" t="s">
        <v>41</v>
      </c>
      <c r="F14" s="3" t="s">
        <v>42</v>
      </c>
      <c r="G14" s="3">
        <v>154.9</v>
      </c>
      <c r="J14" s="3" t="s">
        <v>568</v>
      </c>
      <c r="K14" s="11"/>
      <c r="L14" s="11"/>
      <c r="M14" s="11"/>
      <c r="N14" s="11">
        <v>79.47</v>
      </c>
      <c r="O14">
        <f t="shared" si="0"/>
        <v>79.47</v>
      </c>
    </row>
    <row r="15" spans="1:15" x14ac:dyDescent="0.35">
      <c r="A15" s="2">
        <v>42473</v>
      </c>
      <c r="B15" s="3" t="s">
        <v>43</v>
      </c>
      <c r="C15" s="3" t="s">
        <v>44</v>
      </c>
      <c r="D15" s="3" t="s">
        <v>11</v>
      </c>
      <c r="E15" s="3" t="s">
        <v>38</v>
      </c>
      <c r="F15" s="3" t="s">
        <v>45</v>
      </c>
      <c r="G15" s="3">
        <v>106.96</v>
      </c>
      <c r="J15" s="3" t="s">
        <v>577</v>
      </c>
      <c r="K15" s="11"/>
      <c r="L15" s="11"/>
      <c r="M15" s="11"/>
      <c r="N15" s="11">
        <v>189</v>
      </c>
      <c r="O15">
        <f t="shared" si="0"/>
        <v>189</v>
      </c>
    </row>
    <row r="16" spans="1:15" x14ac:dyDescent="0.35">
      <c r="A16" s="2">
        <v>42483</v>
      </c>
      <c r="B16" s="3" t="s">
        <v>46</v>
      </c>
      <c r="C16" s="3" t="s">
        <v>44</v>
      </c>
      <c r="D16" s="3" t="s">
        <v>11</v>
      </c>
      <c r="E16" s="3" t="s">
        <v>38</v>
      </c>
      <c r="F16" s="3" t="s">
        <v>47</v>
      </c>
      <c r="G16" s="3">
        <v>270.72000000000003</v>
      </c>
      <c r="J16" s="3" t="s">
        <v>268</v>
      </c>
      <c r="K16" s="11">
        <v>123.858</v>
      </c>
      <c r="L16" s="11"/>
      <c r="M16" s="11"/>
      <c r="N16" s="11"/>
      <c r="O16">
        <f t="shared" si="0"/>
        <v>123.858</v>
      </c>
    </row>
    <row r="17" spans="1:15" x14ac:dyDescent="0.35">
      <c r="A17" s="2">
        <v>42490</v>
      </c>
      <c r="B17" s="3" t="s">
        <v>48</v>
      </c>
      <c r="C17" s="3" t="s">
        <v>15</v>
      </c>
      <c r="D17" s="3" t="s">
        <v>49</v>
      </c>
      <c r="E17" s="3" t="s">
        <v>50</v>
      </c>
      <c r="F17" s="3" t="s">
        <v>51</v>
      </c>
      <c r="G17" s="3">
        <v>26.135999999999999</v>
      </c>
      <c r="J17" s="3" t="s">
        <v>48</v>
      </c>
      <c r="K17" s="11"/>
      <c r="L17" s="11">
        <v>26.135999999999999</v>
      </c>
      <c r="M17" s="11"/>
      <c r="N17" s="11"/>
      <c r="O17">
        <f t="shared" si="0"/>
        <v>26.135999999999999</v>
      </c>
    </row>
    <row r="18" spans="1:15" x14ac:dyDescent="0.35">
      <c r="A18" s="2">
        <v>42492</v>
      </c>
      <c r="B18" s="3" t="s">
        <v>52</v>
      </c>
      <c r="C18" s="3" t="s">
        <v>10</v>
      </c>
      <c r="D18" s="3" t="s">
        <v>11</v>
      </c>
      <c r="E18" s="3" t="s">
        <v>20</v>
      </c>
      <c r="F18" s="3" t="s">
        <v>21</v>
      </c>
      <c r="G18" s="3">
        <v>57.68</v>
      </c>
      <c r="J18" s="3" t="s">
        <v>515</v>
      </c>
      <c r="K18" s="11"/>
      <c r="L18" s="11">
        <v>12.98</v>
      </c>
      <c r="M18" s="11"/>
      <c r="N18" s="11"/>
      <c r="O18">
        <f t="shared" si="0"/>
        <v>12.98</v>
      </c>
    </row>
    <row r="19" spans="1:15" x14ac:dyDescent="0.35">
      <c r="A19" s="2">
        <v>42499</v>
      </c>
      <c r="B19" s="3" t="s">
        <v>53</v>
      </c>
      <c r="C19" s="3" t="s">
        <v>10</v>
      </c>
      <c r="D19" s="3" t="s">
        <v>49</v>
      </c>
      <c r="E19" s="3" t="s">
        <v>54</v>
      </c>
      <c r="F19" s="3" t="s">
        <v>55</v>
      </c>
      <c r="G19" s="3">
        <v>35.909999999999997</v>
      </c>
      <c r="J19" s="3" t="s">
        <v>497</v>
      </c>
      <c r="K19" s="11"/>
      <c r="L19" s="11"/>
      <c r="M19" s="11">
        <v>34.847999999999999</v>
      </c>
      <c r="N19" s="11"/>
      <c r="O19">
        <f t="shared" si="0"/>
        <v>34.847999999999999</v>
      </c>
    </row>
    <row r="20" spans="1:15" x14ac:dyDescent="0.35">
      <c r="A20" s="2">
        <v>42508</v>
      </c>
      <c r="B20" s="3" t="s">
        <v>56</v>
      </c>
      <c r="C20" s="3" t="s">
        <v>10</v>
      </c>
      <c r="D20" s="3" t="s">
        <v>49</v>
      </c>
      <c r="E20" s="3" t="s">
        <v>57</v>
      </c>
      <c r="F20" s="3" t="s">
        <v>58</v>
      </c>
      <c r="G20" s="3">
        <v>33.28</v>
      </c>
      <c r="J20" s="3" t="s">
        <v>325</v>
      </c>
      <c r="K20" s="11"/>
      <c r="L20" s="11"/>
      <c r="M20" s="11"/>
      <c r="N20" s="11">
        <v>87.84</v>
      </c>
      <c r="O20">
        <f t="shared" si="0"/>
        <v>87.84</v>
      </c>
    </row>
    <row r="21" spans="1:15" x14ac:dyDescent="0.35">
      <c r="A21" s="2">
        <v>42509</v>
      </c>
      <c r="B21" s="3" t="s">
        <v>59</v>
      </c>
      <c r="C21" s="3" t="s">
        <v>44</v>
      </c>
      <c r="D21" s="3" t="s">
        <v>49</v>
      </c>
      <c r="E21" s="3" t="s">
        <v>60</v>
      </c>
      <c r="F21" s="3" t="s">
        <v>61</v>
      </c>
      <c r="G21" s="3">
        <v>245.88</v>
      </c>
      <c r="J21" s="3" t="s">
        <v>277</v>
      </c>
      <c r="K21" s="11"/>
      <c r="L21" s="11">
        <v>2671.08</v>
      </c>
      <c r="M21" s="11"/>
      <c r="N21" s="11">
        <v>97.16</v>
      </c>
      <c r="O21">
        <f t="shared" si="0"/>
        <v>1384.12</v>
      </c>
    </row>
    <row r="22" spans="1:15" x14ac:dyDescent="0.35">
      <c r="A22" s="2">
        <v>42511</v>
      </c>
      <c r="B22" s="3" t="s">
        <v>62</v>
      </c>
      <c r="C22" s="3" t="s">
        <v>15</v>
      </c>
      <c r="D22" s="3" t="s">
        <v>49</v>
      </c>
      <c r="E22" s="3" t="s">
        <v>54</v>
      </c>
      <c r="F22" s="3" t="s">
        <v>63</v>
      </c>
      <c r="G22" s="3">
        <v>208.16</v>
      </c>
      <c r="J22" s="3" t="s">
        <v>179</v>
      </c>
      <c r="K22" s="11"/>
      <c r="L22" s="11">
        <v>1737.18</v>
      </c>
      <c r="M22" s="11"/>
      <c r="N22" s="11"/>
      <c r="O22">
        <f t="shared" si="0"/>
        <v>1737.18</v>
      </c>
    </row>
    <row r="23" spans="1:15" x14ac:dyDescent="0.35">
      <c r="A23" s="2">
        <v>42513</v>
      </c>
      <c r="B23" s="3" t="s">
        <v>64</v>
      </c>
      <c r="C23" s="3" t="s">
        <v>15</v>
      </c>
      <c r="D23" s="3" t="s">
        <v>16</v>
      </c>
      <c r="E23" s="3" t="s">
        <v>65</v>
      </c>
      <c r="F23" s="3" t="s">
        <v>66</v>
      </c>
      <c r="G23" s="3">
        <v>75.599999999999994</v>
      </c>
      <c r="J23" s="3" t="s">
        <v>387</v>
      </c>
      <c r="K23" s="11"/>
      <c r="L23" s="11"/>
      <c r="M23" s="11"/>
      <c r="N23" s="11">
        <v>129.91999999999999</v>
      </c>
      <c r="O23">
        <f t="shared" si="0"/>
        <v>129.91999999999999</v>
      </c>
    </row>
    <row r="24" spans="1:15" x14ac:dyDescent="0.35">
      <c r="A24" s="2">
        <v>42518</v>
      </c>
      <c r="B24" s="3" t="s">
        <v>67</v>
      </c>
      <c r="C24" s="3" t="s">
        <v>10</v>
      </c>
      <c r="D24" s="3" t="s">
        <v>49</v>
      </c>
      <c r="E24" s="3" t="s">
        <v>54</v>
      </c>
      <c r="F24" s="3" t="s">
        <v>63</v>
      </c>
      <c r="G24" s="3">
        <v>235.95</v>
      </c>
      <c r="J24" s="3" t="s">
        <v>283</v>
      </c>
      <c r="K24" s="11"/>
      <c r="L24" s="11">
        <v>662.84</v>
      </c>
      <c r="M24" s="11"/>
      <c r="N24" s="11">
        <v>7.78</v>
      </c>
      <c r="O24">
        <f t="shared" si="0"/>
        <v>335.31</v>
      </c>
    </row>
    <row r="25" spans="1:15" x14ac:dyDescent="0.35">
      <c r="A25" s="2">
        <v>42520</v>
      </c>
      <c r="B25" s="3" t="s">
        <v>68</v>
      </c>
      <c r="C25" s="3" t="s">
        <v>44</v>
      </c>
      <c r="D25" s="3" t="s">
        <v>16</v>
      </c>
      <c r="E25" s="3" t="s">
        <v>32</v>
      </c>
      <c r="F25" s="3" t="s">
        <v>33</v>
      </c>
      <c r="G25" s="3">
        <v>1503.25</v>
      </c>
      <c r="J25" s="3" t="s">
        <v>297</v>
      </c>
      <c r="K25" s="11"/>
      <c r="L25" s="11"/>
      <c r="M25" s="11"/>
      <c r="N25" s="11">
        <v>106.96</v>
      </c>
      <c r="O25">
        <f t="shared" si="0"/>
        <v>106.96</v>
      </c>
    </row>
    <row r="26" spans="1:15" x14ac:dyDescent="0.35">
      <c r="A26" s="2">
        <v>42520</v>
      </c>
      <c r="B26" s="3" t="s">
        <v>69</v>
      </c>
      <c r="C26" s="3" t="s">
        <v>10</v>
      </c>
      <c r="D26" s="3" t="s">
        <v>16</v>
      </c>
      <c r="E26" s="3" t="s">
        <v>17</v>
      </c>
      <c r="F26" s="3" t="s">
        <v>70</v>
      </c>
      <c r="G26" s="3">
        <v>65.52</v>
      </c>
      <c r="J26" s="3" t="s">
        <v>411</v>
      </c>
      <c r="K26" s="11"/>
      <c r="L26" s="11"/>
      <c r="M26" s="11"/>
      <c r="N26" s="11">
        <v>100.44</v>
      </c>
      <c r="O26">
        <f t="shared" si="0"/>
        <v>100.44</v>
      </c>
    </row>
    <row r="27" spans="1:15" x14ac:dyDescent="0.35">
      <c r="A27" s="2">
        <v>42523</v>
      </c>
      <c r="B27" s="3" t="s">
        <v>71</v>
      </c>
      <c r="C27" s="3" t="s">
        <v>15</v>
      </c>
      <c r="D27" s="3" t="s">
        <v>49</v>
      </c>
      <c r="E27" s="3" t="s">
        <v>54</v>
      </c>
      <c r="F27" s="3" t="s">
        <v>63</v>
      </c>
      <c r="G27" s="3">
        <v>15.56</v>
      </c>
      <c r="J27" s="3" t="s">
        <v>336</v>
      </c>
      <c r="K27" s="11">
        <v>64.384</v>
      </c>
      <c r="L27" s="11"/>
      <c r="M27" s="11"/>
      <c r="N27" s="11"/>
      <c r="O27">
        <f t="shared" si="0"/>
        <v>64.384</v>
      </c>
    </row>
    <row r="28" spans="1:15" x14ac:dyDescent="0.35">
      <c r="A28" s="2">
        <v>42528</v>
      </c>
      <c r="B28" s="3" t="s">
        <v>72</v>
      </c>
      <c r="C28" s="3" t="s">
        <v>15</v>
      </c>
      <c r="D28" s="3" t="s">
        <v>11</v>
      </c>
      <c r="E28" s="3" t="s">
        <v>38</v>
      </c>
      <c r="F28" s="3" t="s">
        <v>45</v>
      </c>
      <c r="G28" s="3">
        <v>114.9</v>
      </c>
      <c r="J28" s="3" t="s">
        <v>279</v>
      </c>
      <c r="K28" s="11">
        <v>638.73</v>
      </c>
      <c r="L28" s="11"/>
      <c r="M28" s="11"/>
      <c r="N28" s="11">
        <v>45.28</v>
      </c>
      <c r="O28">
        <f t="shared" si="0"/>
        <v>342.005</v>
      </c>
    </row>
    <row r="29" spans="1:15" x14ac:dyDescent="0.35">
      <c r="A29" s="2">
        <v>42539</v>
      </c>
      <c r="B29" s="3" t="s">
        <v>73</v>
      </c>
      <c r="C29" s="3" t="s">
        <v>15</v>
      </c>
      <c r="D29" s="3" t="s">
        <v>16</v>
      </c>
      <c r="E29" s="3" t="s">
        <v>74</v>
      </c>
      <c r="F29" s="3" t="s">
        <v>75</v>
      </c>
      <c r="G29" s="3">
        <v>471.9</v>
      </c>
      <c r="J29" s="3" t="s">
        <v>183</v>
      </c>
      <c r="K29" s="11"/>
      <c r="L29" s="11">
        <v>122.94</v>
      </c>
      <c r="M29" s="11"/>
      <c r="N29" s="11"/>
      <c r="O29">
        <f t="shared" si="0"/>
        <v>122.94</v>
      </c>
    </row>
    <row r="30" spans="1:15" x14ac:dyDescent="0.35">
      <c r="A30" s="2">
        <v>42540</v>
      </c>
      <c r="B30" s="3" t="s">
        <v>76</v>
      </c>
      <c r="C30" s="3" t="s">
        <v>15</v>
      </c>
      <c r="D30" s="3" t="s">
        <v>49</v>
      </c>
      <c r="E30" s="3" t="s">
        <v>77</v>
      </c>
      <c r="F30" s="3" t="s">
        <v>78</v>
      </c>
      <c r="G30" s="3">
        <v>44.415999999999997</v>
      </c>
      <c r="J30" s="3" t="s">
        <v>89</v>
      </c>
      <c r="K30" s="11"/>
      <c r="L30" s="11"/>
      <c r="M30" s="11">
        <v>62.92</v>
      </c>
      <c r="N30" s="11"/>
      <c r="O30">
        <f t="shared" si="0"/>
        <v>62.92</v>
      </c>
    </row>
    <row r="31" spans="1:15" x14ac:dyDescent="0.35">
      <c r="A31" s="2">
        <v>42540</v>
      </c>
      <c r="B31" s="3" t="s">
        <v>79</v>
      </c>
      <c r="C31" s="3" t="s">
        <v>15</v>
      </c>
      <c r="D31" s="3" t="s">
        <v>49</v>
      </c>
      <c r="E31" s="3" t="s">
        <v>54</v>
      </c>
      <c r="F31" s="3" t="s">
        <v>63</v>
      </c>
      <c r="G31" s="3">
        <v>59.7</v>
      </c>
      <c r="J31" s="3" t="s">
        <v>312</v>
      </c>
      <c r="K31" s="11"/>
      <c r="L31" s="11">
        <v>17.48</v>
      </c>
      <c r="M31" s="11"/>
      <c r="N31" s="11">
        <v>30.143999999999998</v>
      </c>
      <c r="O31">
        <f t="shared" si="0"/>
        <v>23.811999999999998</v>
      </c>
    </row>
    <row r="32" spans="1:15" x14ac:dyDescent="0.35">
      <c r="A32" s="2">
        <v>42553</v>
      </c>
      <c r="B32" s="3" t="s">
        <v>80</v>
      </c>
      <c r="C32" s="3" t="s">
        <v>10</v>
      </c>
      <c r="D32" s="3" t="s">
        <v>11</v>
      </c>
      <c r="E32" s="3" t="s">
        <v>81</v>
      </c>
      <c r="F32" s="3" t="s">
        <v>82</v>
      </c>
      <c r="G32" s="3">
        <v>32.432000000000002</v>
      </c>
      <c r="J32" s="3" t="s">
        <v>558</v>
      </c>
      <c r="K32" s="11"/>
      <c r="L32" s="11"/>
      <c r="M32" s="11"/>
      <c r="N32" s="11">
        <v>8.6199999999999992</v>
      </c>
      <c r="O32">
        <f t="shared" si="0"/>
        <v>8.6199999999999992</v>
      </c>
    </row>
    <row r="33" spans="1:15" x14ac:dyDescent="0.35">
      <c r="A33" s="2">
        <v>42563</v>
      </c>
      <c r="B33" s="3" t="s">
        <v>83</v>
      </c>
      <c r="C33" s="3" t="s">
        <v>44</v>
      </c>
      <c r="D33" s="3" t="s">
        <v>49</v>
      </c>
      <c r="E33" s="3" t="s">
        <v>84</v>
      </c>
      <c r="F33" s="3" t="s">
        <v>85</v>
      </c>
      <c r="G33" s="3">
        <v>39.479999999999997</v>
      </c>
      <c r="J33" s="3" t="s">
        <v>462</v>
      </c>
      <c r="K33" s="11"/>
      <c r="L33" s="11"/>
      <c r="M33" s="11">
        <v>20.808</v>
      </c>
      <c r="N33" s="11"/>
      <c r="O33">
        <f t="shared" si="0"/>
        <v>20.808</v>
      </c>
    </row>
    <row r="34" spans="1:15" x14ac:dyDescent="0.35">
      <c r="A34" s="2">
        <v>42570</v>
      </c>
      <c r="B34" s="3" t="s">
        <v>86</v>
      </c>
      <c r="C34" s="3" t="s">
        <v>10</v>
      </c>
      <c r="D34" s="3" t="s">
        <v>16</v>
      </c>
      <c r="E34" s="3" t="s">
        <v>23</v>
      </c>
      <c r="F34" s="3" t="s">
        <v>24</v>
      </c>
      <c r="G34" s="3">
        <v>4.992</v>
      </c>
      <c r="J34" s="3" t="s">
        <v>522</v>
      </c>
      <c r="K34" s="11"/>
      <c r="L34" s="11">
        <v>90.86</v>
      </c>
      <c r="M34" s="11"/>
      <c r="N34" s="11"/>
      <c r="O34">
        <f t="shared" si="0"/>
        <v>90.86</v>
      </c>
    </row>
    <row r="35" spans="1:15" x14ac:dyDescent="0.35">
      <c r="A35" s="2">
        <v>42575</v>
      </c>
      <c r="B35" s="3" t="s">
        <v>87</v>
      </c>
      <c r="C35" s="3" t="s">
        <v>15</v>
      </c>
      <c r="D35" s="3" t="s">
        <v>16</v>
      </c>
      <c r="E35" s="3" t="s">
        <v>23</v>
      </c>
      <c r="F35" s="3" t="s">
        <v>88</v>
      </c>
      <c r="G35" s="3">
        <v>4.8360000000000003</v>
      </c>
      <c r="J35" s="3" t="s">
        <v>382</v>
      </c>
      <c r="K35" s="11"/>
      <c r="L35" s="11"/>
      <c r="M35" s="11"/>
      <c r="N35" s="11">
        <v>43.92</v>
      </c>
      <c r="O35">
        <f t="shared" si="0"/>
        <v>43.92</v>
      </c>
    </row>
    <row r="36" spans="1:15" x14ac:dyDescent="0.35">
      <c r="A36" s="2">
        <v>42581</v>
      </c>
      <c r="B36" s="3" t="s">
        <v>89</v>
      </c>
      <c r="C36" s="3" t="s">
        <v>10</v>
      </c>
      <c r="D36" s="3" t="s">
        <v>28</v>
      </c>
      <c r="E36" s="3" t="s">
        <v>90</v>
      </c>
      <c r="F36" s="3" t="s">
        <v>91</v>
      </c>
      <c r="G36" s="3">
        <v>62.92</v>
      </c>
      <c r="J36" s="3" t="s">
        <v>112</v>
      </c>
      <c r="K36" s="11">
        <v>177.98</v>
      </c>
      <c r="L36" s="11"/>
      <c r="M36" s="11"/>
      <c r="N36" s="11">
        <v>356.79</v>
      </c>
      <c r="O36">
        <f t="shared" si="0"/>
        <v>267.38499999999999</v>
      </c>
    </row>
    <row r="37" spans="1:15" x14ac:dyDescent="0.35">
      <c r="A37" s="2">
        <v>42583</v>
      </c>
      <c r="B37" s="3" t="s">
        <v>92</v>
      </c>
      <c r="C37" s="3" t="s">
        <v>15</v>
      </c>
      <c r="D37" s="3" t="s">
        <v>11</v>
      </c>
      <c r="E37" s="3" t="s">
        <v>81</v>
      </c>
      <c r="F37" s="3" t="s">
        <v>93</v>
      </c>
      <c r="G37" s="3">
        <v>2.6</v>
      </c>
      <c r="J37" s="3" t="s">
        <v>343</v>
      </c>
      <c r="K37" s="11"/>
      <c r="L37" s="11">
        <v>283.98</v>
      </c>
      <c r="M37" s="11"/>
      <c r="N37" s="11"/>
      <c r="O37">
        <f t="shared" si="0"/>
        <v>283.98</v>
      </c>
    </row>
    <row r="38" spans="1:15" x14ac:dyDescent="0.35">
      <c r="A38" s="2">
        <v>42584</v>
      </c>
      <c r="B38" s="3" t="s">
        <v>94</v>
      </c>
      <c r="C38" s="3" t="s">
        <v>15</v>
      </c>
      <c r="D38" s="3" t="s">
        <v>11</v>
      </c>
      <c r="E38" s="3" t="s">
        <v>95</v>
      </c>
      <c r="F38" s="3" t="s">
        <v>96</v>
      </c>
      <c r="G38" s="3">
        <v>1089.75</v>
      </c>
      <c r="J38" s="3" t="s">
        <v>174</v>
      </c>
      <c r="K38" s="11"/>
      <c r="L38" s="11"/>
      <c r="M38" s="11"/>
      <c r="N38" s="11">
        <v>361.96</v>
      </c>
      <c r="O38">
        <f t="shared" si="0"/>
        <v>361.96</v>
      </c>
    </row>
    <row r="39" spans="1:15" x14ac:dyDescent="0.35">
      <c r="A39" s="2">
        <v>42584</v>
      </c>
      <c r="B39" s="3" t="s">
        <v>19</v>
      </c>
      <c r="C39" s="3" t="s">
        <v>10</v>
      </c>
      <c r="D39" s="3" t="s">
        <v>49</v>
      </c>
      <c r="E39" s="3" t="s">
        <v>97</v>
      </c>
      <c r="F39" s="3" t="s">
        <v>98</v>
      </c>
      <c r="G39" s="3">
        <v>101.96</v>
      </c>
      <c r="J39" s="3" t="s">
        <v>191</v>
      </c>
      <c r="K39" s="11"/>
      <c r="L39" s="11"/>
      <c r="M39" s="11">
        <v>6.992</v>
      </c>
      <c r="N39" s="11"/>
      <c r="O39">
        <f t="shared" si="0"/>
        <v>6.992</v>
      </c>
    </row>
    <row r="40" spans="1:15" x14ac:dyDescent="0.35">
      <c r="A40" s="2">
        <v>42585</v>
      </c>
      <c r="B40" s="3" t="s">
        <v>99</v>
      </c>
      <c r="C40" s="3" t="s">
        <v>10</v>
      </c>
      <c r="D40" s="3" t="s">
        <v>49</v>
      </c>
      <c r="E40" s="3" t="s">
        <v>100</v>
      </c>
      <c r="F40" s="3" t="s">
        <v>101</v>
      </c>
      <c r="G40" s="3">
        <v>79.47</v>
      </c>
      <c r="J40" s="3" t="s">
        <v>166</v>
      </c>
      <c r="K40" s="11">
        <v>14.016</v>
      </c>
      <c r="L40" s="11"/>
      <c r="M40" s="11"/>
      <c r="N40" s="11"/>
      <c r="O40">
        <f t="shared" si="0"/>
        <v>14.016</v>
      </c>
    </row>
    <row r="41" spans="1:15" x14ac:dyDescent="0.35">
      <c r="A41" s="2">
        <v>42588</v>
      </c>
      <c r="B41" s="3" t="s">
        <v>102</v>
      </c>
      <c r="C41" s="3" t="s">
        <v>15</v>
      </c>
      <c r="D41" s="3" t="s">
        <v>11</v>
      </c>
      <c r="E41" s="3" t="s">
        <v>38</v>
      </c>
      <c r="F41" s="3" t="s">
        <v>103</v>
      </c>
      <c r="G41" s="3">
        <v>76.12</v>
      </c>
      <c r="J41" s="3" t="s">
        <v>490</v>
      </c>
      <c r="K41" s="11"/>
      <c r="L41" s="11"/>
      <c r="M41" s="11">
        <v>41.91</v>
      </c>
      <c r="N41" s="11"/>
      <c r="O41">
        <f t="shared" si="0"/>
        <v>41.91</v>
      </c>
    </row>
    <row r="42" spans="1:15" x14ac:dyDescent="0.35">
      <c r="A42" s="2">
        <v>42588</v>
      </c>
      <c r="B42" s="3" t="s">
        <v>104</v>
      </c>
      <c r="C42" s="3" t="s">
        <v>44</v>
      </c>
      <c r="D42" s="3" t="s">
        <v>16</v>
      </c>
      <c r="E42" s="3" t="s">
        <v>17</v>
      </c>
      <c r="F42" s="3" t="s">
        <v>105</v>
      </c>
      <c r="G42" s="3">
        <v>167.535</v>
      </c>
      <c r="J42" s="3" t="s">
        <v>584</v>
      </c>
      <c r="K42" s="11"/>
      <c r="L42" s="11">
        <v>130.11199999999999</v>
      </c>
      <c r="M42" s="11"/>
      <c r="N42" s="11"/>
      <c r="O42">
        <f t="shared" si="0"/>
        <v>130.11199999999999</v>
      </c>
    </row>
    <row r="43" spans="1:15" x14ac:dyDescent="0.35">
      <c r="A43" s="2">
        <v>42592</v>
      </c>
      <c r="B43" s="3" t="s">
        <v>106</v>
      </c>
      <c r="C43" s="3" t="s">
        <v>44</v>
      </c>
      <c r="D43" s="3" t="s">
        <v>28</v>
      </c>
      <c r="E43" s="3" t="s">
        <v>107</v>
      </c>
      <c r="F43" s="3" t="s">
        <v>108</v>
      </c>
      <c r="G43" s="3">
        <v>211.24799999999999</v>
      </c>
      <c r="J43" s="3" t="s">
        <v>46</v>
      </c>
      <c r="K43" s="11"/>
      <c r="L43" s="11"/>
      <c r="M43" s="11"/>
      <c r="N43" s="11">
        <v>270.72000000000003</v>
      </c>
      <c r="O43">
        <f t="shared" si="0"/>
        <v>270.72000000000003</v>
      </c>
    </row>
    <row r="44" spans="1:15" x14ac:dyDescent="0.35">
      <c r="A44" s="2">
        <v>42595</v>
      </c>
      <c r="B44" s="3" t="s">
        <v>109</v>
      </c>
      <c r="C44" s="3" t="s">
        <v>15</v>
      </c>
      <c r="D44" s="3" t="s">
        <v>28</v>
      </c>
      <c r="E44" s="3" t="s">
        <v>107</v>
      </c>
      <c r="F44" s="3" t="s">
        <v>110</v>
      </c>
      <c r="G44" s="3">
        <v>152.24</v>
      </c>
      <c r="J44" s="3" t="s">
        <v>52</v>
      </c>
      <c r="K44" s="11"/>
      <c r="L44" s="11"/>
      <c r="M44" s="11"/>
      <c r="N44" s="11">
        <v>57.68</v>
      </c>
      <c r="O44">
        <f t="shared" si="0"/>
        <v>57.68</v>
      </c>
    </row>
    <row r="45" spans="1:15" x14ac:dyDescent="0.35">
      <c r="A45" s="2">
        <v>42613</v>
      </c>
      <c r="B45" s="3" t="s">
        <v>111</v>
      </c>
      <c r="C45" s="3" t="s">
        <v>15</v>
      </c>
      <c r="D45" s="3" t="s">
        <v>49</v>
      </c>
      <c r="E45" s="3" t="s">
        <v>54</v>
      </c>
      <c r="F45" s="3" t="s">
        <v>55</v>
      </c>
      <c r="G45" s="3">
        <v>19.899999999999999</v>
      </c>
      <c r="J45" s="3" t="s">
        <v>202</v>
      </c>
      <c r="K45" s="11"/>
      <c r="L45" s="11"/>
      <c r="M45" s="11"/>
      <c r="N45" s="11">
        <v>75.84</v>
      </c>
      <c r="O45">
        <f t="shared" si="0"/>
        <v>75.84</v>
      </c>
    </row>
    <row r="46" spans="1:15" x14ac:dyDescent="0.35">
      <c r="A46" s="2">
        <v>42619</v>
      </c>
      <c r="B46" s="3" t="s">
        <v>112</v>
      </c>
      <c r="C46" s="3" t="s">
        <v>15</v>
      </c>
      <c r="D46" s="3" t="s">
        <v>16</v>
      </c>
      <c r="E46" s="3" t="s">
        <v>23</v>
      </c>
      <c r="F46" s="3" t="s">
        <v>88</v>
      </c>
      <c r="G46" s="3">
        <v>177.98</v>
      </c>
      <c r="J46" s="3" t="s">
        <v>71</v>
      </c>
      <c r="K46" s="11"/>
      <c r="L46" s="11">
        <v>15.56</v>
      </c>
      <c r="M46" s="11"/>
      <c r="N46" s="11"/>
      <c r="O46">
        <f t="shared" si="0"/>
        <v>15.56</v>
      </c>
    </row>
    <row r="47" spans="1:15" x14ac:dyDescent="0.35">
      <c r="A47" s="2">
        <v>42619</v>
      </c>
      <c r="B47" s="3" t="s">
        <v>113</v>
      </c>
      <c r="C47" s="3" t="s">
        <v>44</v>
      </c>
      <c r="D47" s="3" t="s">
        <v>11</v>
      </c>
      <c r="E47" s="3" t="s">
        <v>38</v>
      </c>
      <c r="F47" s="3" t="s">
        <v>39</v>
      </c>
      <c r="G47" s="3">
        <v>56.65</v>
      </c>
      <c r="J47" s="3" t="s">
        <v>319</v>
      </c>
      <c r="K47" s="11">
        <v>54.48</v>
      </c>
      <c r="L47" s="11"/>
      <c r="M47" s="11"/>
      <c r="N47" s="11"/>
      <c r="O47">
        <f t="shared" si="0"/>
        <v>54.48</v>
      </c>
    </row>
    <row r="48" spans="1:15" x14ac:dyDescent="0.35">
      <c r="A48" s="2">
        <v>42619</v>
      </c>
      <c r="B48" s="3" t="s">
        <v>114</v>
      </c>
      <c r="C48" s="3" t="s">
        <v>10</v>
      </c>
      <c r="D48" s="3" t="s">
        <v>49</v>
      </c>
      <c r="E48" s="3" t="s">
        <v>54</v>
      </c>
      <c r="F48" s="3" t="s">
        <v>115</v>
      </c>
      <c r="G48" s="3">
        <v>16.78</v>
      </c>
      <c r="J48" s="3" t="s">
        <v>119</v>
      </c>
      <c r="K48" s="11"/>
      <c r="L48" s="11"/>
      <c r="M48" s="11">
        <v>166.84</v>
      </c>
      <c r="N48" s="11"/>
      <c r="O48">
        <f t="shared" si="0"/>
        <v>166.84</v>
      </c>
    </row>
    <row r="49" spans="1:15" x14ac:dyDescent="0.35">
      <c r="A49" s="2">
        <v>42621</v>
      </c>
      <c r="B49" s="3" t="s">
        <v>116</v>
      </c>
      <c r="C49" s="3" t="s">
        <v>15</v>
      </c>
      <c r="D49" s="3" t="s">
        <v>49</v>
      </c>
      <c r="E49" s="3" t="s">
        <v>117</v>
      </c>
      <c r="F49" s="3" t="s">
        <v>118</v>
      </c>
      <c r="G49" s="3">
        <v>81.92</v>
      </c>
      <c r="J49" s="3" t="s">
        <v>295</v>
      </c>
      <c r="K49" s="11"/>
      <c r="L49" s="11">
        <v>355.96</v>
      </c>
      <c r="M49" s="11"/>
      <c r="N49" s="11"/>
      <c r="O49">
        <f t="shared" si="0"/>
        <v>355.96</v>
      </c>
    </row>
    <row r="50" spans="1:15" x14ac:dyDescent="0.35">
      <c r="A50" s="2">
        <v>42623</v>
      </c>
      <c r="B50" s="3" t="s">
        <v>119</v>
      </c>
      <c r="C50" s="3" t="s">
        <v>10</v>
      </c>
      <c r="D50" s="3" t="s">
        <v>28</v>
      </c>
      <c r="E50" s="3" t="s">
        <v>90</v>
      </c>
      <c r="F50" s="3" t="s">
        <v>120</v>
      </c>
      <c r="G50" s="3">
        <v>166.84</v>
      </c>
      <c r="J50" s="3" t="s">
        <v>293</v>
      </c>
      <c r="K50" s="11"/>
      <c r="L50" s="11"/>
      <c r="M50" s="11">
        <v>194.32</v>
      </c>
      <c r="N50" s="11"/>
      <c r="O50">
        <f t="shared" si="0"/>
        <v>194.32</v>
      </c>
    </row>
    <row r="51" spans="1:15" x14ac:dyDescent="0.35">
      <c r="A51" s="2">
        <v>42624</v>
      </c>
      <c r="B51" s="3" t="s">
        <v>121</v>
      </c>
      <c r="C51" s="3" t="s">
        <v>15</v>
      </c>
      <c r="D51" s="3" t="s">
        <v>11</v>
      </c>
      <c r="E51" s="3" t="s">
        <v>20</v>
      </c>
      <c r="F51" s="3" t="s">
        <v>21</v>
      </c>
      <c r="G51" s="3">
        <v>22.66</v>
      </c>
      <c r="J51" s="3" t="s">
        <v>31</v>
      </c>
      <c r="K51" s="11">
        <v>93.78</v>
      </c>
      <c r="L51" s="11">
        <v>242.9</v>
      </c>
      <c r="M51" s="11"/>
      <c r="N51" s="11"/>
      <c r="O51">
        <f t="shared" si="0"/>
        <v>168.34</v>
      </c>
    </row>
    <row r="52" spans="1:15" x14ac:dyDescent="0.35">
      <c r="A52" s="2">
        <v>42625</v>
      </c>
      <c r="B52" s="3" t="s">
        <v>122</v>
      </c>
      <c r="C52" s="3" t="s">
        <v>10</v>
      </c>
      <c r="D52" s="3" t="s">
        <v>16</v>
      </c>
      <c r="E52" s="3" t="s">
        <v>65</v>
      </c>
      <c r="F52" s="3" t="s">
        <v>66</v>
      </c>
      <c r="G52" s="3">
        <v>52.448</v>
      </c>
      <c r="J52" s="3" t="s">
        <v>443</v>
      </c>
      <c r="K52" s="11"/>
      <c r="L52" s="11"/>
      <c r="M52" s="11"/>
      <c r="N52" s="11">
        <v>81.92</v>
      </c>
      <c r="O52">
        <f t="shared" si="0"/>
        <v>81.92</v>
      </c>
    </row>
    <row r="53" spans="1:15" x14ac:dyDescent="0.35">
      <c r="A53" s="2">
        <v>42625</v>
      </c>
      <c r="B53" s="3" t="s">
        <v>123</v>
      </c>
      <c r="C53" s="3" t="s">
        <v>15</v>
      </c>
      <c r="D53" s="3" t="s">
        <v>28</v>
      </c>
      <c r="E53" s="3" t="s">
        <v>107</v>
      </c>
      <c r="F53" s="3" t="s">
        <v>124</v>
      </c>
      <c r="G53" s="3">
        <v>13</v>
      </c>
      <c r="J53" s="3" t="s">
        <v>275</v>
      </c>
      <c r="K53" s="11">
        <v>24.588000000000001</v>
      </c>
      <c r="L53" s="11">
        <v>26.49</v>
      </c>
      <c r="M53" s="11">
        <v>1158.1199999999999</v>
      </c>
      <c r="N53" s="11"/>
      <c r="O53">
        <f t="shared" si="0"/>
        <v>403.06599999999997</v>
      </c>
    </row>
    <row r="54" spans="1:15" x14ac:dyDescent="0.35">
      <c r="A54" s="2">
        <v>42625</v>
      </c>
      <c r="B54" s="3" t="s">
        <v>125</v>
      </c>
      <c r="C54" s="3" t="s">
        <v>15</v>
      </c>
      <c r="D54" s="3" t="s">
        <v>49</v>
      </c>
      <c r="E54" s="3" t="s">
        <v>54</v>
      </c>
      <c r="F54" s="3" t="s">
        <v>63</v>
      </c>
      <c r="G54" s="3">
        <v>601.29999999999995</v>
      </c>
      <c r="J54" s="3" t="s">
        <v>240</v>
      </c>
      <c r="K54" s="11"/>
      <c r="L54" s="11">
        <v>8.39</v>
      </c>
      <c r="M54" s="11"/>
      <c r="N54" s="11"/>
      <c r="O54">
        <f t="shared" si="0"/>
        <v>8.39</v>
      </c>
    </row>
    <row r="55" spans="1:15" x14ac:dyDescent="0.35">
      <c r="A55" s="2">
        <v>42631</v>
      </c>
      <c r="B55" s="3" t="s">
        <v>126</v>
      </c>
      <c r="C55" s="3" t="s">
        <v>44</v>
      </c>
      <c r="D55" s="3" t="s">
        <v>11</v>
      </c>
      <c r="E55" s="3" t="s">
        <v>38</v>
      </c>
      <c r="F55" s="3" t="s">
        <v>45</v>
      </c>
      <c r="G55" s="3">
        <v>43.92</v>
      </c>
      <c r="J55" s="3" t="s">
        <v>140</v>
      </c>
      <c r="K55" s="11"/>
      <c r="L55" s="11">
        <v>91.92</v>
      </c>
      <c r="M55" s="11"/>
      <c r="N55" s="11"/>
      <c r="O55">
        <f t="shared" si="0"/>
        <v>91.92</v>
      </c>
    </row>
    <row r="56" spans="1:15" x14ac:dyDescent="0.35">
      <c r="A56" s="2">
        <v>42631</v>
      </c>
      <c r="B56" s="3" t="s">
        <v>127</v>
      </c>
      <c r="C56" s="3" t="s">
        <v>15</v>
      </c>
      <c r="D56" s="3" t="s">
        <v>49</v>
      </c>
      <c r="E56" s="3" t="s">
        <v>54</v>
      </c>
      <c r="F56" s="3" t="s">
        <v>63</v>
      </c>
      <c r="G56" s="3">
        <v>30.98</v>
      </c>
      <c r="J56" s="3" t="s">
        <v>128</v>
      </c>
      <c r="K56" s="11">
        <v>91.63300000000001</v>
      </c>
      <c r="L56" s="11"/>
      <c r="M56" s="11"/>
      <c r="N56" s="11"/>
      <c r="O56">
        <f t="shared" si="0"/>
        <v>91.63300000000001</v>
      </c>
    </row>
    <row r="57" spans="1:15" x14ac:dyDescent="0.35">
      <c r="A57" s="2">
        <v>42632</v>
      </c>
      <c r="B57" s="3" t="s">
        <v>128</v>
      </c>
      <c r="C57" s="3" t="s">
        <v>10</v>
      </c>
      <c r="D57" s="3" t="s">
        <v>16</v>
      </c>
      <c r="E57" s="3" t="s">
        <v>129</v>
      </c>
      <c r="F57" s="3" t="s">
        <v>130</v>
      </c>
      <c r="G57" s="3">
        <v>25.96</v>
      </c>
      <c r="J57" s="3" t="s">
        <v>314</v>
      </c>
      <c r="K57" s="11"/>
      <c r="L57" s="11"/>
      <c r="M57" s="11"/>
      <c r="N57" s="11">
        <v>113.76</v>
      </c>
      <c r="O57">
        <f t="shared" si="0"/>
        <v>113.76</v>
      </c>
    </row>
    <row r="58" spans="1:15" x14ac:dyDescent="0.35">
      <c r="A58" s="2">
        <v>42632</v>
      </c>
      <c r="B58" s="3" t="s">
        <v>128</v>
      </c>
      <c r="C58" s="3" t="s">
        <v>10</v>
      </c>
      <c r="D58" s="3" t="s">
        <v>16</v>
      </c>
      <c r="E58" s="3" t="s">
        <v>129</v>
      </c>
      <c r="F58" s="3" t="s">
        <v>130</v>
      </c>
      <c r="G58" s="3">
        <v>36.270000000000003</v>
      </c>
      <c r="J58" s="3" t="s">
        <v>53</v>
      </c>
      <c r="K58" s="11"/>
      <c r="L58" s="11">
        <v>35.909999999999997</v>
      </c>
      <c r="M58" s="11"/>
      <c r="N58" s="11"/>
      <c r="O58">
        <f t="shared" si="0"/>
        <v>35.909999999999997</v>
      </c>
    </row>
    <row r="59" spans="1:15" x14ac:dyDescent="0.35">
      <c r="A59" s="2">
        <v>42637</v>
      </c>
      <c r="B59" s="3" t="s">
        <v>131</v>
      </c>
      <c r="C59" s="3" t="s">
        <v>10</v>
      </c>
      <c r="D59" s="3" t="s">
        <v>49</v>
      </c>
      <c r="E59" s="3" t="s">
        <v>77</v>
      </c>
      <c r="F59" s="3" t="s">
        <v>78</v>
      </c>
      <c r="G59" s="3">
        <v>143.952</v>
      </c>
      <c r="J59" s="3" t="s">
        <v>72</v>
      </c>
      <c r="K59" s="11"/>
      <c r="L59" s="11"/>
      <c r="M59" s="11">
        <v>320.64</v>
      </c>
      <c r="N59" s="11">
        <v>114.9</v>
      </c>
      <c r="O59">
        <f t="shared" si="0"/>
        <v>217.76999999999998</v>
      </c>
    </row>
    <row r="60" spans="1:15" x14ac:dyDescent="0.35">
      <c r="A60" s="2">
        <v>42637</v>
      </c>
      <c r="B60" s="3" t="s">
        <v>132</v>
      </c>
      <c r="C60" s="3" t="s">
        <v>10</v>
      </c>
      <c r="D60" s="3" t="s">
        <v>49</v>
      </c>
      <c r="E60" s="3" t="s">
        <v>77</v>
      </c>
      <c r="F60" s="3" t="s">
        <v>78</v>
      </c>
      <c r="G60" s="3">
        <v>41.375999999999998</v>
      </c>
      <c r="J60" s="3" t="s">
        <v>92</v>
      </c>
      <c r="K60" s="11"/>
      <c r="L60" s="11">
        <v>195.10400000000001</v>
      </c>
      <c r="M60" s="11"/>
      <c r="N60" s="11">
        <v>163.56</v>
      </c>
      <c r="O60">
        <f t="shared" si="0"/>
        <v>179.33199999999999</v>
      </c>
    </row>
    <row r="61" spans="1:15" x14ac:dyDescent="0.35">
      <c r="A61" s="2">
        <v>42637</v>
      </c>
      <c r="B61" s="3" t="s">
        <v>133</v>
      </c>
      <c r="C61" s="3" t="s">
        <v>44</v>
      </c>
      <c r="D61" s="3" t="s">
        <v>49</v>
      </c>
      <c r="E61" s="3" t="s">
        <v>50</v>
      </c>
      <c r="F61" s="3" t="s">
        <v>134</v>
      </c>
      <c r="G61" s="3">
        <v>16.704000000000001</v>
      </c>
      <c r="J61" s="3" t="s">
        <v>528</v>
      </c>
      <c r="K61" s="11"/>
      <c r="L61" s="11"/>
      <c r="M61" s="11"/>
      <c r="N61" s="11">
        <v>3.89</v>
      </c>
      <c r="O61">
        <f t="shared" si="0"/>
        <v>3.89</v>
      </c>
    </row>
    <row r="62" spans="1:15" x14ac:dyDescent="0.35">
      <c r="A62" s="2">
        <v>42641</v>
      </c>
      <c r="B62" s="3" t="s">
        <v>135</v>
      </c>
      <c r="C62" s="3" t="s">
        <v>15</v>
      </c>
      <c r="D62" s="3" t="s">
        <v>28</v>
      </c>
      <c r="E62" s="3" t="s">
        <v>136</v>
      </c>
      <c r="F62" s="3" t="s">
        <v>137</v>
      </c>
      <c r="G62" s="3">
        <v>69.215999999999994</v>
      </c>
      <c r="J62" s="3" t="s">
        <v>496</v>
      </c>
      <c r="K62" s="11"/>
      <c r="L62" s="11">
        <v>17.48</v>
      </c>
      <c r="M62" s="11"/>
      <c r="N62" s="11"/>
      <c r="O62">
        <f t="shared" si="0"/>
        <v>17.48</v>
      </c>
    </row>
    <row r="63" spans="1:15" x14ac:dyDescent="0.35">
      <c r="A63" s="2">
        <v>42641</v>
      </c>
      <c r="B63" s="3" t="s">
        <v>138</v>
      </c>
      <c r="C63" s="3" t="s">
        <v>10</v>
      </c>
      <c r="D63" s="3" t="s">
        <v>49</v>
      </c>
      <c r="E63" s="3" t="s">
        <v>50</v>
      </c>
      <c r="F63" s="3" t="s">
        <v>139</v>
      </c>
      <c r="G63" s="3">
        <v>795.40800000000002</v>
      </c>
      <c r="J63" s="3" t="s">
        <v>421</v>
      </c>
      <c r="K63" s="11">
        <v>81.96</v>
      </c>
      <c r="L63" s="11"/>
      <c r="M63" s="11"/>
      <c r="N63" s="11"/>
      <c r="O63">
        <f t="shared" si="0"/>
        <v>81.96</v>
      </c>
    </row>
    <row r="64" spans="1:15" x14ac:dyDescent="0.35">
      <c r="A64" s="2">
        <v>42646</v>
      </c>
      <c r="B64" s="3" t="s">
        <v>140</v>
      </c>
      <c r="C64" s="3" t="s">
        <v>15</v>
      </c>
      <c r="D64" s="3" t="s">
        <v>49</v>
      </c>
      <c r="E64" s="3" t="s">
        <v>50</v>
      </c>
      <c r="F64" s="3" t="s">
        <v>51</v>
      </c>
      <c r="G64" s="3">
        <v>91.92</v>
      </c>
      <c r="J64" s="3" t="s">
        <v>298</v>
      </c>
      <c r="K64" s="11"/>
      <c r="L64" s="11"/>
      <c r="M64" s="11">
        <v>64.864000000000004</v>
      </c>
      <c r="N64" s="11"/>
      <c r="O64">
        <f t="shared" si="0"/>
        <v>64.864000000000004</v>
      </c>
    </row>
    <row r="65" spans="1:15" x14ac:dyDescent="0.35">
      <c r="A65" s="2">
        <v>42654</v>
      </c>
      <c r="B65" s="3" t="s">
        <v>141</v>
      </c>
      <c r="C65" s="3" t="s">
        <v>15</v>
      </c>
      <c r="D65" s="3" t="s">
        <v>11</v>
      </c>
      <c r="E65" s="3" t="s">
        <v>20</v>
      </c>
      <c r="F65" s="3" t="s">
        <v>142</v>
      </c>
      <c r="G65" s="3">
        <v>213.92</v>
      </c>
      <c r="J65" s="3" t="s">
        <v>453</v>
      </c>
      <c r="K65" s="11">
        <v>2.6880000000000002</v>
      </c>
      <c r="L65" s="11"/>
      <c r="M65" s="11"/>
      <c r="N65" s="11"/>
      <c r="O65">
        <f t="shared" si="0"/>
        <v>2.6880000000000002</v>
      </c>
    </row>
    <row r="66" spans="1:15" x14ac:dyDescent="0.35">
      <c r="A66" s="2">
        <v>42655</v>
      </c>
      <c r="B66" s="3" t="s">
        <v>143</v>
      </c>
      <c r="C66" s="3" t="s">
        <v>15</v>
      </c>
      <c r="D66" s="3" t="s">
        <v>16</v>
      </c>
      <c r="E66" s="3" t="s">
        <v>23</v>
      </c>
      <c r="F66" s="3" t="s">
        <v>144</v>
      </c>
      <c r="G66" s="3">
        <v>3.16</v>
      </c>
      <c r="J66" s="3" t="s">
        <v>357</v>
      </c>
      <c r="K66" s="11">
        <v>58.923999999999999</v>
      </c>
      <c r="L66" s="11"/>
      <c r="M66" s="11"/>
      <c r="N66" s="11"/>
      <c r="O66">
        <f t="shared" si="0"/>
        <v>58.923999999999999</v>
      </c>
    </row>
    <row r="67" spans="1:15" x14ac:dyDescent="0.35">
      <c r="A67" s="2">
        <v>42662</v>
      </c>
      <c r="B67" s="3" t="s">
        <v>145</v>
      </c>
      <c r="C67" s="3" t="s">
        <v>15</v>
      </c>
      <c r="D67" s="3" t="s">
        <v>49</v>
      </c>
      <c r="E67" s="3" t="s">
        <v>50</v>
      </c>
      <c r="F67" s="3" t="s">
        <v>139</v>
      </c>
      <c r="G67" s="3">
        <v>121.792</v>
      </c>
      <c r="J67" s="3" t="s">
        <v>407</v>
      </c>
      <c r="K67" s="11"/>
      <c r="L67" s="11">
        <v>394.81599999999997</v>
      </c>
      <c r="M67" s="11"/>
      <c r="N67" s="11"/>
      <c r="O67">
        <f t="shared" si="0"/>
        <v>394.81599999999997</v>
      </c>
    </row>
    <row r="68" spans="1:15" x14ac:dyDescent="0.35">
      <c r="A68" s="2">
        <v>42673</v>
      </c>
      <c r="B68" s="3" t="s">
        <v>146</v>
      </c>
      <c r="C68" s="3" t="s">
        <v>15</v>
      </c>
      <c r="D68" s="3" t="s">
        <v>49</v>
      </c>
      <c r="E68" s="3" t="s">
        <v>54</v>
      </c>
      <c r="F68" s="3" t="s">
        <v>115</v>
      </c>
      <c r="G68" s="3">
        <v>533.94000000000005</v>
      </c>
      <c r="J68" s="3" t="s">
        <v>518</v>
      </c>
      <c r="K68" s="11"/>
      <c r="L68" s="11"/>
      <c r="M68" s="11">
        <v>67.900000000000006</v>
      </c>
      <c r="N68" s="11">
        <v>406.6</v>
      </c>
      <c r="O68">
        <f t="shared" si="0"/>
        <v>237.25</v>
      </c>
    </row>
    <row r="69" spans="1:15" x14ac:dyDescent="0.35">
      <c r="A69" s="2">
        <v>42673</v>
      </c>
      <c r="B69" s="3" t="s">
        <v>147</v>
      </c>
      <c r="C69" s="3" t="s">
        <v>10</v>
      </c>
      <c r="D69" s="3" t="s">
        <v>49</v>
      </c>
      <c r="E69" s="3" t="s">
        <v>117</v>
      </c>
      <c r="F69" s="3" t="s">
        <v>148</v>
      </c>
      <c r="G69" s="3">
        <v>76.12</v>
      </c>
      <c r="J69" s="3" t="s">
        <v>337</v>
      </c>
      <c r="K69" s="11"/>
      <c r="L69" s="11">
        <v>447.69600000000003</v>
      </c>
      <c r="M69" s="11"/>
      <c r="N69" s="11"/>
      <c r="O69">
        <f t="shared" si="0"/>
        <v>447.69600000000003</v>
      </c>
    </row>
    <row r="70" spans="1:15" x14ac:dyDescent="0.35">
      <c r="A70" s="2">
        <v>42676</v>
      </c>
      <c r="B70" s="3" t="s">
        <v>149</v>
      </c>
      <c r="C70" s="3" t="s">
        <v>10</v>
      </c>
      <c r="D70" s="3" t="s">
        <v>28</v>
      </c>
      <c r="E70" s="3" t="s">
        <v>90</v>
      </c>
      <c r="F70" s="3" t="s">
        <v>120</v>
      </c>
      <c r="G70" s="3">
        <v>58.24</v>
      </c>
      <c r="J70" s="3" t="s">
        <v>353</v>
      </c>
      <c r="K70" s="11"/>
      <c r="L70" s="11"/>
      <c r="M70" s="11"/>
      <c r="N70" s="11">
        <v>487.92</v>
      </c>
      <c r="O70">
        <f t="shared" ref="O70:O133" si="1">AVERAGE(K70:N70)</f>
        <v>487.92</v>
      </c>
    </row>
    <row r="71" spans="1:15" x14ac:dyDescent="0.35">
      <c r="A71" s="2">
        <v>42679</v>
      </c>
      <c r="B71" s="3" t="s">
        <v>150</v>
      </c>
      <c r="C71" s="3" t="s">
        <v>15</v>
      </c>
      <c r="D71" s="3" t="s">
        <v>16</v>
      </c>
      <c r="E71" s="3" t="s">
        <v>151</v>
      </c>
      <c r="F71" s="3" t="s">
        <v>152</v>
      </c>
      <c r="G71" s="3">
        <v>245.88</v>
      </c>
      <c r="J71" s="3" t="s">
        <v>473</v>
      </c>
      <c r="K71" s="11"/>
      <c r="L71" s="11"/>
      <c r="M71" s="11"/>
      <c r="N71" s="11">
        <v>7.77</v>
      </c>
      <c r="O71">
        <f t="shared" si="1"/>
        <v>7.77</v>
      </c>
    </row>
    <row r="72" spans="1:15" x14ac:dyDescent="0.35">
      <c r="A72" s="2">
        <v>42683</v>
      </c>
      <c r="B72" s="3" t="s">
        <v>104</v>
      </c>
      <c r="C72" s="3" t="s">
        <v>44</v>
      </c>
      <c r="D72" s="3" t="s">
        <v>11</v>
      </c>
      <c r="E72" s="3" t="s">
        <v>38</v>
      </c>
      <c r="F72" s="3" t="s">
        <v>45</v>
      </c>
      <c r="G72" s="3">
        <v>7.78</v>
      </c>
      <c r="J72" s="3" t="s">
        <v>331</v>
      </c>
      <c r="K72" s="11"/>
      <c r="L72" s="11"/>
      <c r="M72" s="11"/>
      <c r="N72" s="11">
        <v>58.24</v>
      </c>
      <c r="O72">
        <f t="shared" si="1"/>
        <v>58.24</v>
      </c>
    </row>
    <row r="73" spans="1:15" x14ac:dyDescent="0.35">
      <c r="A73" s="2">
        <v>42683</v>
      </c>
      <c r="B73" s="3" t="s">
        <v>153</v>
      </c>
      <c r="C73" s="3" t="s">
        <v>10</v>
      </c>
      <c r="D73" s="3" t="s">
        <v>11</v>
      </c>
      <c r="E73" s="3" t="s">
        <v>20</v>
      </c>
      <c r="F73" s="3" t="s">
        <v>21</v>
      </c>
      <c r="G73" s="3">
        <v>22.98</v>
      </c>
      <c r="J73" s="3" t="s">
        <v>578</v>
      </c>
      <c r="K73" s="11"/>
      <c r="L73" s="11">
        <v>426.79</v>
      </c>
      <c r="M73" s="11"/>
      <c r="N73" s="11"/>
      <c r="O73">
        <f t="shared" si="1"/>
        <v>426.79</v>
      </c>
    </row>
    <row r="74" spans="1:15" x14ac:dyDescent="0.35">
      <c r="A74" s="2">
        <v>42687</v>
      </c>
      <c r="B74" s="3" t="s">
        <v>154</v>
      </c>
      <c r="C74" s="3" t="s">
        <v>15</v>
      </c>
      <c r="D74" s="3" t="s">
        <v>28</v>
      </c>
      <c r="E74" s="3" t="s">
        <v>136</v>
      </c>
      <c r="F74" s="3" t="s">
        <v>155</v>
      </c>
      <c r="G74" s="3">
        <v>333.05599999999998</v>
      </c>
      <c r="J74" s="3" t="s">
        <v>459</v>
      </c>
      <c r="K74" s="11"/>
      <c r="L74" s="11"/>
      <c r="M74" s="11"/>
      <c r="N74" s="11">
        <v>176.04</v>
      </c>
      <c r="O74">
        <f t="shared" si="1"/>
        <v>176.04</v>
      </c>
    </row>
    <row r="75" spans="1:15" x14ac:dyDescent="0.35">
      <c r="A75" s="2">
        <v>42689</v>
      </c>
      <c r="B75" s="3" t="s">
        <v>156</v>
      </c>
      <c r="C75" s="3" t="s">
        <v>10</v>
      </c>
      <c r="D75" s="3" t="s">
        <v>11</v>
      </c>
      <c r="E75" s="3" t="s">
        <v>38</v>
      </c>
      <c r="F75" s="3" t="s">
        <v>39</v>
      </c>
      <c r="G75" s="3">
        <v>241.44</v>
      </c>
      <c r="J75" s="3" t="s">
        <v>109</v>
      </c>
      <c r="K75" s="11"/>
      <c r="L75" s="11"/>
      <c r="M75" s="11">
        <v>187.28</v>
      </c>
      <c r="N75" s="11"/>
      <c r="O75">
        <f t="shared" si="1"/>
        <v>187.28</v>
      </c>
    </row>
    <row r="76" spans="1:15" x14ac:dyDescent="0.35">
      <c r="A76" s="2">
        <v>42694</v>
      </c>
      <c r="B76" s="3" t="s">
        <v>157</v>
      </c>
      <c r="C76" s="3" t="s">
        <v>10</v>
      </c>
      <c r="D76" s="3" t="s">
        <v>28</v>
      </c>
      <c r="E76" s="3" t="s">
        <v>41</v>
      </c>
      <c r="F76" s="3" t="s">
        <v>51</v>
      </c>
      <c r="G76" s="3">
        <v>675.12</v>
      </c>
      <c r="J76" s="3" t="s">
        <v>318</v>
      </c>
      <c r="K76" s="11">
        <v>26.405999999999999</v>
      </c>
      <c r="L76" s="11">
        <v>52.56</v>
      </c>
      <c r="M76" s="11"/>
      <c r="N76" s="11"/>
      <c r="O76">
        <f t="shared" si="1"/>
        <v>39.483000000000004</v>
      </c>
    </row>
    <row r="77" spans="1:15" x14ac:dyDescent="0.35">
      <c r="A77" s="2">
        <v>42695</v>
      </c>
      <c r="B77" s="3" t="s">
        <v>158</v>
      </c>
      <c r="C77" s="3" t="s">
        <v>10</v>
      </c>
      <c r="D77" s="3" t="s">
        <v>16</v>
      </c>
      <c r="E77" s="3" t="s">
        <v>23</v>
      </c>
      <c r="F77" s="3" t="s">
        <v>159</v>
      </c>
      <c r="G77" s="3">
        <v>34.176000000000002</v>
      </c>
      <c r="J77" s="3" t="s">
        <v>589</v>
      </c>
      <c r="K77" s="11">
        <v>209.3</v>
      </c>
      <c r="L77" s="11"/>
      <c r="M77" s="11"/>
      <c r="N77" s="11"/>
      <c r="O77">
        <f t="shared" si="1"/>
        <v>209.3</v>
      </c>
    </row>
    <row r="78" spans="1:15" x14ac:dyDescent="0.35">
      <c r="A78" s="2">
        <v>42697</v>
      </c>
      <c r="B78" s="3" t="s">
        <v>67</v>
      </c>
      <c r="C78" s="3" t="s">
        <v>10</v>
      </c>
      <c r="D78" s="3" t="s">
        <v>11</v>
      </c>
      <c r="E78" s="3" t="s">
        <v>38</v>
      </c>
      <c r="F78" s="3" t="s">
        <v>160</v>
      </c>
      <c r="G78" s="3">
        <v>320.88</v>
      </c>
      <c r="J78" s="3" t="s">
        <v>519</v>
      </c>
      <c r="K78" s="11">
        <v>1.556</v>
      </c>
      <c r="L78" s="11"/>
      <c r="M78" s="11"/>
      <c r="N78" s="11"/>
      <c r="O78">
        <f t="shared" si="1"/>
        <v>1.556</v>
      </c>
    </row>
    <row r="79" spans="1:15" x14ac:dyDescent="0.35">
      <c r="A79" s="2">
        <v>42698</v>
      </c>
      <c r="B79" s="3" t="s">
        <v>161</v>
      </c>
      <c r="C79" s="3" t="s">
        <v>10</v>
      </c>
      <c r="D79" s="3" t="s">
        <v>11</v>
      </c>
      <c r="E79" s="3" t="s">
        <v>38</v>
      </c>
      <c r="F79" s="3" t="s">
        <v>162</v>
      </c>
      <c r="G79" s="3">
        <v>40.54</v>
      </c>
      <c r="J79" s="3" t="s">
        <v>541</v>
      </c>
      <c r="K79" s="11"/>
      <c r="L79" s="11"/>
      <c r="M79" s="11"/>
      <c r="N79" s="11">
        <v>168.1</v>
      </c>
      <c r="O79">
        <f t="shared" si="1"/>
        <v>168.1</v>
      </c>
    </row>
    <row r="80" spans="1:15" x14ac:dyDescent="0.35">
      <c r="A80" s="2">
        <v>42700</v>
      </c>
      <c r="B80" s="3" t="s">
        <v>163</v>
      </c>
      <c r="C80" s="3" t="s">
        <v>15</v>
      </c>
      <c r="D80" s="3" t="s">
        <v>11</v>
      </c>
      <c r="E80" s="3" t="s">
        <v>38</v>
      </c>
      <c r="F80" s="3" t="s">
        <v>39</v>
      </c>
      <c r="G80" s="3">
        <v>43.68</v>
      </c>
      <c r="J80" s="3" t="s">
        <v>447</v>
      </c>
      <c r="K80" s="11"/>
      <c r="L80" s="11"/>
      <c r="M80" s="11">
        <v>262.24</v>
      </c>
      <c r="N80" s="11"/>
      <c r="O80">
        <f t="shared" si="1"/>
        <v>262.24</v>
      </c>
    </row>
    <row r="81" spans="1:15" x14ac:dyDescent="0.35">
      <c r="A81" s="2">
        <v>42704</v>
      </c>
      <c r="B81" s="3" t="s">
        <v>164</v>
      </c>
      <c r="C81" s="3" t="s">
        <v>15</v>
      </c>
      <c r="D81" s="3" t="s">
        <v>16</v>
      </c>
      <c r="E81" s="3" t="s">
        <v>65</v>
      </c>
      <c r="F81" s="3" t="s">
        <v>66</v>
      </c>
      <c r="G81" s="3">
        <v>2.3940000000000001</v>
      </c>
      <c r="J81" s="3" t="s">
        <v>327</v>
      </c>
      <c r="K81" s="11"/>
      <c r="L81" s="11"/>
      <c r="M81" s="11"/>
      <c r="N81" s="11">
        <v>262.24</v>
      </c>
      <c r="O81">
        <f t="shared" si="1"/>
        <v>262.24</v>
      </c>
    </row>
    <row r="82" spans="1:15" x14ac:dyDescent="0.35">
      <c r="A82" s="2">
        <v>42707</v>
      </c>
      <c r="B82" s="3" t="s">
        <v>165</v>
      </c>
      <c r="C82" s="3" t="s">
        <v>15</v>
      </c>
      <c r="D82" s="3" t="s">
        <v>11</v>
      </c>
      <c r="E82" s="3" t="s">
        <v>38</v>
      </c>
      <c r="F82" s="3" t="s">
        <v>45</v>
      </c>
      <c r="G82" s="3">
        <v>250.26</v>
      </c>
      <c r="J82" s="3" t="s">
        <v>562</v>
      </c>
      <c r="K82" s="11"/>
      <c r="L82" s="11">
        <v>265.40800000000002</v>
      </c>
      <c r="M82" s="11"/>
      <c r="N82" s="11"/>
      <c r="O82">
        <f t="shared" si="1"/>
        <v>265.40800000000002</v>
      </c>
    </row>
    <row r="83" spans="1:15" x14ac:dyDescent="0.35">
      <c r="A83" s="2">
        <v>42708</v>
      </c>
      <c r="B83" s="3" t="s">
        <v>166</v>
      </c>
      <c r="C83" s="3" t="s">
        <v>15</v>
      </c>
      <c r="D83" s="3" t="s">
        <v>16</v>
      </c>
      <c r="E83" s="3" t="s">
        <v>65</v>
      </c>
      <c r="F83" s="3" t="s">
        <v>66</v>
      </c>
      <c r="G83" s="3">
        <v>14.016</v>
      </c>
      <c r="J83" s="3" t="s">
        <v>73</v>
      </c>
      <c r="K83" s="11">
        <v>471.9</v>
      </c>
      <c r="L83" s="11"/>
      <c r="M83" s="11"/>
      <c r="N83" s="11"/>
      <c r="O83">
        <f t="shared" si="1"/>
        <v>471.9</v>
      </c>
    </row>
    <row r="84" spans="1:15" x14ac:dyDescent="0.35">
      <c r="A84" s="2">
        <v>42711</v>
      </c>
      <c r="B84" s="3" t="s">
        <v>156</v>
      </c>
      <c r="C84" s="3" t="s">
        <v>10</v>
      </c>
      <c r="D84" s="3" t="s">
        <v>16</v>
      </c>
      <c r="E84" s="3" t="s">
        <v>65</v>
      </c>
      <c r="F84" s="3" t="s">
        <v>66</v>
      </c>
      <c r="G84" s="3">
        <v>20.388000000000002</v>
      </c>
      <c r="J84" s="3" t="s">
        <v>185</v>
      </c>
      <c r="K84" s="11"/>
      <c r="L84" s="11"/>
      <c r="M84" s="11">
        <v>163.44</v>
      </c>
      <c r="N84" s="11"/>
      <c r="O84">
        <f t="shared" si="1"/>
        <v>163.44</v>
      </c>
    </row>
    <row r="85" spans="1:15" x14ac:dyDescent="0.35">
      <c r="A85" s="2">
        <v>42722</v>
      </c>
      <c r="B85" s="3" t="s">
        <v>167</v>
      </c>
      <c r="C85" s="3" t="s">
        <v>15</v>
      </c>
      <c r="D85" s="3" t="s">
        <v>28</v>
      </c>
      <c r="E85" s="3" t="s">
        <v>136</v>
      </c>
      <c r="F85" s="3" t="s">
        <v>168</v>
      </c>
      <c r="G85" s="3">
        <v>43.512</v>
      </c>
      <c r="J85" s="3" t="s">
        <v>132</v>
      </c>
      <c r="K85" s="11"/>
      <c r="L85" s="11">
        <v>41.375999999999998</v>
      </c>
      <c r="M85" s="11"/>
      <c r="N85" s="11"/>
      <c r="O85">
        <f t="shared" si="1"/>
        <v>41.375999999999998</v>
      </c>
    </row>
    <row r="86" spans="1:15" x14ac:dyDescent="0.35">
      <c r="A86" s="2">
        <v>42722</v>
      </c>
      <c r="B86" s="3" t="s">
        <v>169</v>
      </c>
      <c r="C86" s="3" t="s">
        <v>15</v>
      </c>
      <c r="D86" s="3" t="s">
        <v>16</v>
      </c>
      <c r="E86" s="3" t="s">
        <v>23</v>
      </c>
      <c r="F86" s="3" t="s">
        <v>170</v>
      </c>
      <c r="G86" s="3">
        <v>19.431999999999999</v>
      </c>
      <c r="J86" s="3" t="s">
        <v>361</v>
      </c>
      <c r="K86" s="11"/>
      <c r="L86" s="11">
        <v>1018.452</v>
      </c>
      <c r="M86" s="11"/>
      <c r="N86" s="11"/>
      <c r="O86">
        <f t="shared" si="1"/>
        <v>1018.452</v>
      </c>
    </row>
    <row r="87" spans="1:15" x14ac:dyDescent="0.35">
      <c r="A87" s="2">
        <v>42725</v>
      </c>
      <c r="B87" s="3" t="s">
        <v>171</v>
      </c>
      <c r="C87" s="3" t="s">
        <v>15</v>
      </c>
      <c r="D87" s="3" t="s">
        <v>16</v>
      </c>
      <c r="E87" s="3" t="s">
        <v>172</v>
      </c>
      <c r="F87" s="3" t="s">
        <v>30</v>
      </c>
      <c r="G87" s="3">
        <v>207.24</v>
      </c>
      <c r="J87" s="3" t="s">
        <v>123</v>
      </c>
      <c r="K87" s="11"/>
      <c r="L87" s="11"/>
      <c r="M87" s="11">
        <v>13</v>
      </c>
      <c r="N87" s="11"/>
      <c r="O87">
        <f t="shared" si="1"/>
        <v>13</v>
      </c>
    </row>
    <row r="88" spans="1:15" x14ac:dyDescent="0.35">
      <c r="A88" s="2">
        <v>42725</v>
      </c>
      <c r="B88" s="3" t="s">
        <v>173</v>
      </c>
      <c r="C88" s="3" t="s">
        <v>10</v>
      </c>
      <c r="D88" s="3" t="s">
        <v>49</v>
      </c>
      <c r="E88" s="3" t="s">
        <v>54</v>
      </c>
      <c r="F88" s="3" t="s">
        <v>63</v>
      </c>
      <c r="G88" s="3">
        <v>56.52</v>
      </c>
      <c r="J88" s="3" t="s">
        <v>177</v>
      </c>
      <c r="K88" s="11">
        <v>868.59</v>
      </c>
      <c r="L88" s="11"/>
      <c r="M88" s="11"/>
      <c r="N88" s="11">
        <v>10.98</v>
      </c>
      <c r="O88">
        <f t="shared" si="1"/>
        <v>439.78500000000003</v>
      </c>
    </row>
    <row r="89" spans="1:15" x14ac:dyDescent="0.35">
      <c r="A89" s="2">
        <v>42726</v>
      </c>
      <c r="B89" s="3" t="s">
        <v>174</v>
      </c>
      <c r="C89" s="3" t="s">
        <v>44</v>
      </c>
      <c r="D89" s="3" t="s">
        <v>11</v>
      </c>
      <c r="E89" s="3" t="s">
        <v>38</v>
      </c>
      <c r="F89" s="3" t="s">
        <v>45</v>
      </c>
      <c r="G89" s="3">
        <v>361.96</v>
      </c>
      <c r="J89" s="3" t="s">
        <v>321</v>
      </c>
      <c r="K89" s="11">
        <v>48.783999999999999</v>
      </c>
      <c r="L89" s="11"/>
      <c r="M89" s="11"/>
      <c r="N89" s="11"/>
      <c r="O89">
        <f t="shared" si="1"/>
        <v>48.783999999999999</v>
      </c>
    </row>
    <row r="90" spans="1:15" x14ac:dyDescent="0.35">
      <c r="A90" s="2">
        <v>42726</v>
      </c>
      <c r="B90" s="3" t="s">
        <v>175</v>
      </c>
      <c r="C90" s="3" t="s">
        <v>15</v>
      </c>
      <c r="D90" s="3" t="s">
        <v>11</v>
      </c>
      <c r="E90" s="3" t="s">
        <v>38</v>
      </c>
      <c r="F90" s="3" t="s">
        <v>103</v>
      </c>
      <c r="G90" s="3">
        <v>13.97</v>
      </c>
      <c r="J90" s="3" t="s">
        <v>468</v>
      </c>
      <c r="K90" s="11"/>
      <c r="L90" s="11">
        <v>99.28</v>
      </c>
      <c r="M90" s="11"/>
      <c r="N90" s="11">
        <v>11.176</v>
      </c>
      <c r="O90">
        <f t="shared" si="1"/>
        <v>55.228000000000002</v>
      </c>
    </row>
    <row r="91" spans="1:15" x14ac:dyDescent="0.35">
      <c r="A91" s="2">
        <v>42728</v>
      </c>
      <c r="B91" s="3" t="s">
        <v>176</v>
      </c>
      <c r="C91" s="3" t="s">
        <v>15</v>
      </c>
      <c r="D91" s="3" t="s">
        <v>49</v>
      </c>
      <c r="E91" s="3" t="s">
        <v>77</v>
      </c>
      <c r="F91" s="3" t="s">
        <v>78</v>
      </c>
      <c r="G91" s="3">
        <v>34.655999999999999</v>
      </c>
      <c r="J91" s="3" t="s">
        <v>502</v>
      </c>
      <c r="K91" s="11"/>
      <c r="L91" s="11"/>
      <c r="M91" s="11">
        <v>272.048</v>
      </c>
      <c r="N91" s="11"/>
      <c r="O91">
        <f t="shared" si="1"/>
        <v>272.048</v>
      </c>
    </row>
    <row r="92" spans="1:15" x14ac:dyDescent="0.35">
      <c r="A92" s="2">
        <v>42728</v>
      </c>
      <c r="B92" s="3" t="s">
        <v>176</v>
      </c>
      <c r="C92" s="3" t="s">
        <v>15</v>
      </c>
      <c r="D92" s="3" t="s">
        <v>49</v>
      </c>
      <c r="E92" s="3" t="s">
        <v>77</v>
      </c>
      <c r="F92" s="3" t="s">
        <v>78</v>
      </c>
      <c r="G92" s="3">
        <v>81.552000000000007</v>
      </c>
      <c r="J92" s="3" t="s">
        <v>302</v>
      </c>
      <c r="K92" s="11"/>
      <c r="L92" s="11">
        <v>170.88</v>
      </c>
      <c r="M92" s="11"/>
      <c r="N92" s="11"/>
      <c r="O92">
        <f t="shared" si="1"/>
        <v>170.88</v>
      </c>
    </row>
    <row r="93" spans="1:15" x14ac:dyDescent="0.35">
      <c r="A93" s="2">
        <v>42729</v>
      </c>
      <c r="B93" s="3" t="s">
        <v>177</v>
      </c>
      <c r="C93" s="3" t="s">
        <v>44</v>
      </c>
      <c r="D93" s="3" t="s">
        <v>11</v>
      </c>
      <c r="E93" s="3" t="s">
        <v>38</v>
      </c>
      <c r="F93" s="3" t="s">
        <v>178</v>
      </c>
      <c r="G93" s="3">
        <v>10.98</v>
      </c>
      <c r="J93" s="3" t="s">
        <v>510</v>
      </c>
      <c r="K93" s="11"/>
      <c r="L93" s="11"/>
      <c r="M93" s="11"/>
      <c r="N93" s="11">
        <v>321.92</v>
      </c>
      <c r="O93">
        <f t="shared" si="1"/>
        <v>321.92</v>
      </c>
    </row>
    <row r="94" spans="1:15" x14ac:dyDescent="0.35">
      <c r="A94" s="2">
        <v>42730</v>
      </c>
      <c r="B94" s="3" t="s">
        <v>179</v>
      </c>
      <c r="C94" s="3" t="s">
        <v>10</v>
      </c>
      <c r="D94" s="3" t="s">
        <v>49</v>
      </c>
      <c r="E94" s="3" t="s">
        <v>60</v>
      </c>
      <c r="F94" s="3" t="s">
        <v>180</v>
      </c>
      <c r="G94" s="3">
        <v>1737.18</v>
      </c>
      <c r="J94" s="3" t="s">
        <v>146</v>
      </c>
      <c r="K94" s="11"/>
      <c r="L94" s="11">
        <v>533.94000000000005</v>
      </c>
      <c r="M94" s="11"/>
      <c r="N94" s="11"/>
      <c r="O94">
        <f t="shared" si="1"/>
        <v>533.94000000000005</v>
      </c>
    </row>
    <row r="95" spans="1:15" x14ac:dyDescent="0.35">
      <c r="A95" s="2">
        <v>42731</v>
      </c>
      <c r="B95" s="3" t="s">
        <v>181</v>
      </c>
      <c r="C95" s="3" t="s">
        <v>15</v>
      </c>
      <c r="D95" s="3" t="s">
        <v>49</v>
      </c>
      <c r="E95" s="3" t="s">
        <v>50</v>
      </c>
      <c r="F95" s="3" t="s">
        <v>182</v>
      </c>
      <c r="G95" s="3">
        <v>48.36</v>
      </c>
      <c r="J95" s="3" t="s">
        <v>138</v>
      </c>
      <c r="K95" s="11"/>
      <c r="L95" s="11">
        <v>795.40800000000002</v>
      </c>
      <c r="M95" s="11">
        <v>81.567999999999998</v>
      </c>
      <c r="N95" s="11"/>
      <c r="O95">
        <f t="shared" si="1"/>
        <v>438.488</v>
      </c>
    </row>
    <row r="96" spans="1:15" x14ac:dyDescent="0.35">
      <c r="A96" s="2">
        <v>42732</v>
      </c>
      <c r="B96" s="3" t="s">
        <v>183</v>
      </c>
      <c r="C96" s="3" t="s">
        <v>15</v>
      </c>
      <c r="D96" s="3" t="s">
        <v>49</v>
      </c>
      <c r="E96" s="3" t="s">
        <v>54</v>
      </c>
      <c r="F96" s="3" t="s">
        <v>63</v>
      </c>
      <c r="G96" s="3">
        <v>122.94</v>
      </c>
      <c r="J96" s="3" t="s">
        <v>284</v>
      </c>
      <c r="K96" s="11"/>
      <c r="L96" s="11"/>
      <c r="M96" s="11">
        <v>152.94</v>
      </c>
      <c r="N96" s="11"/>
      <c r="O96">
        <f t="shared" si="1"/>
        <v>152.94</v>
      </c>
    </row>
    <row r="97" spans="1:15" x14ac:dyDescent="0.35">
      <c r="A97" s="2">
        <v>42738</v>
      </c>
      <c r="B97" s="3" t="s">
        <v>184</v>
      </c>
      <c r="C97" s="3" t="s">
        <v>44</v>
      </c>
      <c r="D97" s="3" t="s">
        <v>11</v>
      </c>
      <c r="E97" s="3" t="s">
        <v>38</v>
      </c>
      <c r="F97" s="3" t="s">
        <v>39</v>
      </c>
      <c r="G97" s="3">
        <v>87.36</v>
      </c>
      <c r="J97" s="3" t="s">
        <v>125</v>
      </c>
      <c r="K97" s="11"/>
      <c r="L97" s="11">
        <v>1247.5720000000001</v>
      </c>
      <c r="M97" s="11"/>
      <c r="N97" s="11"/>
      <c r="O97">
        <f t="shared" si="1"/>
        <v>1247.5720000000001</v>
      </c>
    </row>
    <row r="98" spans="1:15" x14ac:dyDescent="0.35">
      <c r="A98" s="2">
        <v>42742</v>
      </c>
      <c r="B98" s="3" t="s">
        <v>185</v>
      </c>
      <c r="C98" s="3" t="s">
        <v>15</v>
      </c>
      <c r="D98" s="3" t="s">
        <v>28</v>
      </c>
      <c r="E98" s="3" t="s">
        <v>29</v>
      </c>
      <c r="F98" s="3" t="s">
        <v>186</v>
      </c>
      <c r="G98" s="3">
        <v>163.44</v>
      </c>
      <c r="J98" s="3" t="s">
        <v>526</v>
      </c>
      <c r="K98" s="11"/>
      <c r="L98" s="11"/>
      <c r="M98" s="11"/>
      <c r="N98" s="11">
        <v>209.792</v>
      </c>
      <c r="O98">
        <f t="shared" si="1"/>
        <v>209.792</v>
      </c>
    </row>
    <row r="99" spans="1:15" x14ac:dyDescent="0.35">
      <c r="A99" s="2">
        <v>42779</v>
      </c>
      <c r="B99" s="3" t="s">
        <v>111</v>
      </c>
      <c r="C99" s="3" t="s">
        <v>15</v>
      </c>
      <c r="D99" s="3" t="s">
        <v>11</v>
      </c>
      <c r="E99" s="3" t="s">
        <v>38</v>
      </c>
      <c r="F99" s="3" t="s">
        <v>45</v>
      </c>
      <c r="G99" s="3">
        <v>541.44000000000005</v>
      </c>
      <c r="J99" s="3" t="s">
        <v>311</v>
      </c>
      <c r="K99" s="11"/>
      <c r="L99" s="11"/>
      <c r="M99" s="11">
        <v>871.8</v>
      </c>
      <c r="N99" s="11"/>
      <c r="O99">
        <f t="shared" si="1"/>
        <v>871.8</v>
      </c>
    </row>
    <row r="100" spans="1:15" x14ac:dyDescent="0.35">
      <c r="A100" s="2">
        <v>42787</v>
      </c>
      <c r="B100" s="3" t="s">
        <v>187</v>
      </c>
      <c r="C100" s="3" t="s">
        <v>44</v>
      </c>
      <c r="D100" s="3" t="s">
        <v>49</v>
      </c>
      <c r="E100" s="3" t="s">
        <v>54</v>
      </c>
      <c r="F100" s="3" t="s">
        <v>63</v>
      </c>
      <c r="G100" s="3">
        <v>26.88</v>
      </c>
      <c r="J100" s="3" t="s">
        <v>340</v>
      </c>
      <c r="K100" s="11">
        <v>8.7119999999999997</v>
      </c>
      <c r="L100" s="11"/>
      <c r="M100" s="11"/>
      <c r="N100" s="11"/>
      <c r="O100">
        <f t="shared" si="1"/>
        <v>8.7119999999999997</v>
      </c>
    </row>
    <row r="101" spans="1:15" x14ac:dyDescent="0.35">
      <c r="A101" s="2">
        <v>42794</v>
      </c>
      <c r="B101" s="3" t="s">
        <v>121</v>
      </c>
      <c r="C101" s="3" t="s">
        <v>15</v>
      </c>
      <c r="D101" s="3" t="s">
        <v>49</v>
      </c>
      <c r="E101" s="3" t="s">
        <v>77</v>
      </c>
      <c r="F101" s="3" t="s">
        <v>78</v>
      </c>
      <c r="G101" s="3">
        <v>3.552</v>
      </c>
      <c r="J101" s="3" t="s">
        <v>9</v>
      </c>
      <c r="K101" s="11"/>
      <c r="L101" s="11"/>
      <c r="M101" s="11"/>
      <c r="N101" s="11">
        <v>64.864000000000004</v>
      </c>
      <c r="O101">
        <f t="shared" si="1"/>
        <v>64.864000000000004</v>
      </c>
    </row>
    <row r="102" spans="1:15" x14ac:dyDescent="0.35">
      <c r="A102" s="2">
        <v>42798</v>
      </c>
      <c r="B102" s="3" t="s">
        <v>171</v>
      </c>
      <c r="C102" s="3" t="s">
        <v>15</v>
      </c>
      <c r="D102" s="3" t="s">
        <v>16</v>
      </c>
      <c r="E102" s="3" t="s">
        <v>172</v>
      </c>
      <c r="F102" s="3" t="s">
        <v>188</v>
      </c>
      <c r="G102" s="3">
        <v>60.69</v>
      </c>
      <c r="J102" s="3" t="s">
        <v>305</v>
      </c>
      <c r="K102" s="11"/>
      <c r="L102" s="11">
        <v>706.86</v>
      </c>
      <c r="M102" s="11"/>
      <c r="N102" s="11">
        <v>154.9</v>
      </c>
      <c r="O102">
        <f t="shared" si="1"/>
        <v>430.88</v>
      </c>
    </row>
    <row r="103" spans="1:15" x14ac:dyDescent="0.35">
      <c r="A103" s="2">
        <v>42798</v>
      </c>
      <c r="B103" s="3" t="s">
        <v>150</v>
      </c>
      <c r="C103" s="3" t="s">
        <v>15</v>
      </c>
      <c r="D103" s="3" t="s">
        <v>16</v>
      </c>
      <c r="E103" s="3" t="s">
        <v>65</v>
      </c>
      <c r="F103" s="3" t="s">
        <v>66</v>
      </c>
      <c r="G103" s="3">
        <v>180.98</v>
      </c>
      <c r="J103" s="3" t="s">
        <v>147</v>
      </c>
      <c r="K103" s="11"/>
      <c r="L103" s="11">
        <v>76.12</v>
      </c>
      <c r="M103" s="11"/>
      <c r="N103" s="11"/>
      <c r="O103">
        <f t="shared" si="1"/>
        <v>76.12</v>
      </c>
    </row>
    <row r="104" spans="1:15" x14ac:dyDescent="0.35">
      <c r="A104" s="2">
        <v>42814</v>
      </c>
      <c r="B104" s="3" t="s">
        <v>189</v>
      </c>
      <c r="C104" s="3" t="s">
        <v>15</v>
      </c>
      <c r="D104" s="3" t="s">
        <v>28</v>
      </c>
      <c r="E104" s="3" t="s">
        <v>90</v>
      </c>
      <c r="F104" s="3" t="s">
        <v>190</v>
      </c>
      <c r="G104" s="3">
        <v>962.08</v>
      </c>
      <c r="J104" s="3" t="s">
        <v>366</v>
      </c>
      <c r="K104" s="11"/>
      <c r="L104" s="11"/>
      <c r="M104" s="11">
        <v>87.168000000000006</v>
      </c>
      <c r="N104" s="11"/>
      <c r="O104">
        <f t="shared" si="1"/>
        <v>87.168000000000006</v>
      </c>
    </row>
    <row r="105" spans="1:15" x14ac:dyDescent="0.35">
      <c r="A105" s="2">
        <v>42817</v>
      </c>
      <c r="B105" s="3" t="s">
        <v>191</v>
      </c>
      <c r="C105" s="3" t="s">
        <v>10</v>
      </c>
      <c r="D105" s="3" t="s">
        <v>28</v>
      </c>
      <c r="E105" s="3" t="s">
        <v>107</v>
      </c>
      <c r="F105" s="3" t="s">
        <v>192</v>
      </c>
      <c r="G105" s="3">
        <v>6.992</v>
      </c>
      <c r="J105" s="3" t="s">
        <v>273</v>
      </c>
      <c r="K105" s="11">
        <v>19.75</v>
      </c>
      <c r="L105" s="11"/>
      <c r="M105" s="11"/>
      <c r="N105" s="11"/>
      <c r="O105">
        <f t="shared" si="1"/>
        <v>19.75</v>
      </c>
    </row>
    <row r="106" spans="1:15" x14ac:dyDescent="0.35">
      <c r="A106" s="2">
        <v>42822</v>
      </c>
      <c r="B106" s="3" t="s">
        <v>193</v>
      </c>
      <c r="C106" s="3" t="s">
        <v>15</v>
      </c>
      <c r="D106" s="3" t="s">
        <v>11</v>
      </c>
      <c r="E106" s="3" t="s">
        <v>20</v>
      </c>
      <c r="F106" s="3" t="s">
        <v>21</v>
      </c>
      <c r="G106" s="3">
        <v>73.28</v>
      </c>
      <c r="J106" s="3" t="s">
        <v>579</v>
      </c>
      <c r="K106" s="11">
        <v>1.3919999999999999</v>
      </c>
      <c r="L106" s="11"/>
      <c r="M106" s="11"/>
      <c r="N106" s="11"/>
      <c r="O106">
        <f t="shared" si="1"/>
        <v>1.3919999999999999</v>
      </c>
    </row>
    <row r="107" spans="1:15" x14ac:dyDescent="0.35">
      <c r="A107" s="2">
        <v>42826</v>
      </c>
      <c r="B107" s="3" t="s">
        <v>194</v>
      </c>
      <c r="C107" s="3" t="s">
        <v>15</v>
      </c>
      <c r="D107" s="3" t="s">
        <v>16</v>
      </c>
      <c r="E107" s="3" t="s">
        <v>23</v>
      </c>
      <c r="F107" s="3" t="s">
        <v>24</v>
      </c>
      <c r="G107" s="3">
        <v>32.192</v>
      </c>
      <c r="J107" s="3" t="s">
        <v>113</v>
      </c>
      <c r="K107" s="11">
        <v>70.97</v>
      </c>
      <c r="L107" s="11"/>
      <c r="M107" s="11"/>
      <c r="N107" s="11">
        <v>56.65</v>
      </c>
      <c r="O107">
        <f t="shared" si="1"/>
        <v>63.81</v>
      </c>
    </row>
    <row r="108" spans="1:15" x14ac:dyDescent="0.35">
      <c r="A108" s="2">
        <v>42828</v>
      </c>
      <c r="B108" s="3" t="s">
        <v>195</v>
      </c>
      <c r="C108" s="3" t="s">
        <v>15</v>
      </c>
      <c r="D108" s="3" t="s">
        <v>16</v>
      </c>
      <c r="E108" s="3" t="s">
        <v>17</v>
      </c>
      <c r="F108" s="3" t="s">
        <v>196</v>
      </c>
      <c r="G108" s="3">
        <v>644.07600000000002</v>
      </c>
      <c r="J108" s="3" t="s">
        <v>232</v>
      </c>
      <c r="K108" s="11"/>
      <c r="L108" s="11">
        <v>113.92</v>
      </c>
      <c r="M108" s="11"/>
      <c r="N108" s="11"/>
      <c r="O108">
        <f t="shared" si="1"/>
        <v>113.92</v>
      </c>
    </row>
    <row r="109" spans="1:15" x14ac:dyDescent="0.35">
      <c r="A109" s="2">
        <v>42829</v>
      </c>
      <c r="B109" s="3" t="s">
        <v>197</v>
      </c>
      <c r="C109" s="3" t="s">
        <v>44</v>
      </c>
      <c r="D109" s="3" t="s">
        <v>49</v>
      </c>
      <c r="E109" s="3" t="s">
        <v>77</v>
      </c>
      <c r="F109" s="3" t="s">
        <v>78</v>
      </c>
      <c r="G109" s="3">
        <v>98.111999999999995</v>
      </c>
      <c r="J109" s="3" t="s">
        <v>193</v>
      </c>
      <c r="K109" s="11"/>
      <c r="L109" s="11"/>
      <c r="M109" s="11"/>
      <c r="N109" s="11">
        <v>73.28</v>
      </c>
      <c r="O109">
        <f t="shared" si="1"/>
        <v>73.28</v>
      </c>
    </row>
    <row r="110" spans="1:15" x14ac:dyDescent="0.35">
      <c r="A110" s="2">
        <v>42831</v>
      </c>
      <c r="B110" s="3" t="s">
        <v>198</v>
      </c>
      <c r="C110" s="3" t="s">
        <v>15</v>
      </c>
      <c r="D110" s="3" t="s">
        <v>16</v>
      </c>
      <c r="E110" s="3" t="s">
        <v>23</v>
      </c>
      <c r="F110" s="3" t="s">
        <v>88</v>
      </c>
      <c r="G110" s="3">
        <v>463.24799999999999</v>
      </c>
      <c r="J110" s="3" t="s">
        <v>133</v>
      </c>
      <c r="K110" s="11"/>
      <c r="L110" s="11">
        <v>16.704000000000001</v>
      </c>
      <c r="M110" s="11"/>
      <c r="N110" s="11"/>
      <c r="O110">
        <f t="shared" si="1"/>
        <v>16.704000000000001</v>
      </c>
    </row>
    <row r="111" spans="1:15" x14ac:dyDescent="0.35">
      <c r="A111" s="2">
        <v>42833</v>
      </c>
      <c r="B111" s="3" t="s">
        <v>199</v>
      </c>
      <c r="C111" s="3" t="s">
        <v>15</v>
      </c>
      <c r="D111" s="3" t="s">
        <v>49</v>
      </c>
      <c r="E111" s="3" t="s">
        <v>100</v>
      </c>
      <c r="F111" s="3" t="s">
        <v>200</v>
      </c>
      <c r="G111" s="3">
        <v>370.14</v>
      </c>
      <c r="J111" s="3" t="s">
        <v>566</v>
      </c>
      <c r="K111" s="11"/>
      <c r="L111" s="11"/>
      <c r="M111" s="11"/>
      <c r="N111" s="11">
        <v>31.152000000000001</v>
      </c>
      <c r="O111">
        <f t="shared" si="1"/>
        <v>31.152000000000001</v>
      </c>
    </row>
    <row r="112" spans="1:15" x14ac:dyDescent="0.35">
      <c r="A112" s="2">
        <v>42835</v>
      </c>
      <c r="B112" s="3" t="s">
        <v>201</v>
      </c>
      <c r="C112" s="3" t="s">
        <v>15</v>
      </c>
      <c r="D112" s="3" t="s">
        <v>49</v>
      </c>
      <c r="E112" s="3" t="s">
        <v>54</v>
      </c>
      <c r="F112" s="3" t="s">
        <v>63</v>
      </c>
      <c r="G112" s="3">
        <v>406.6</v>
      </c>
      <c r="J112" s="3" t="s">
        <v>68</v>
      </c>
      <c r="K112" s="11">
        <v>1503.25</v>
      </c>
      <c r="L112" s="11"/>
      <c r="M112" s="11"/>
      <c r="N112" s="11"/>
      <c r="O112">
        <f t="shared" si="1"/>
        <v>1503.25</v>
      </c>
    </row>
    <row r="113" spans="1:15" x14ac:dyDescent="0.35">
      <c r="A113" s="2">
        <v>42837</v>
      </c>
      <c r="B113" s="3" t="s">
        <v>202</v>
      </c>
      <c r="C113" s="3" t="s">
        <v>10</v>
      </c>
      <c r="D113" s="3" t="s">
        <v>11</v>
      </c>
      <c r="E113" s="3" t="s">
        <v>38</v>
      </c>
      <c r="F113" s="3" t="s">
        <v>45</v>
      </c>
      <c r="G113" s="3">
        <v>75.84</v>
      </c>
      <c r="J113" s="3" t="s">
        <v>525</v>
      </c>
      <c r="K113" s="11"/>
      <c r="L113" s="11"/>
      <c r="M113" s="11"/>
      <c r="N113" s="11">
        <v>119.96</v>
      </c>
      <c r="O113">
        <f t="shared" si="1"/>
        <v>119.96</v>
      </c>
    </row>
    <row r="114" spans="1:15" x14ac:dyDescent="0.35">
      <c r="A114" s="2">
        <v>42838</v>
      </c>
      <c r="B114" s="3" t="s">
        <v>203</v>
      </c>
      <c r="C114" s="3" t="s">
        <v>15</v>
      </c>
      <c r="D114" s="3" t="s">
        <v>11</v>
      </c>
      <c r="E114" s="3" t="s">
        <v>12</v>
      </c>
      <c r="F114" s="3" t="s">
        <v>13</v>
      </c>
      <c r="G114" s="3">
        <v>35.207999999999998</v>
      </c>
      <c r="J114" s="3" t="s">
        <v>523</v>
      </c>
      <c r="K114" s="11"/>
      <c r="L114" s="11"/>
      <c r="M114" s="11">
        <v>942.78399999999999</v>
      </c>
      <c r="N114" s="11"/>
      <c r="O114">
        <f t="shared" si="1"/>
        <v>942.78399999999999</v>
      </c>
    </row>
    <row r="115" spans="1:15" x14ac:dyDescent="0.35">
      <c r="A115" s="2">
        <v>42840</v>
      </c>
      <c r="B115" s="3" t="s">
        <v>204</v>
      </c>
      <c r="C115" s="3" t="s">
        <v>10</v>
      </c>
      <c r="D115" s="3" t="s">
        <v>49</v>
      </c>
      <c r="E115" s="3" t="s">
        <v>50</v>
      </c>
      <c r="F115" s="3" t="s">
        <v>205</v>
      </c>
      <c r="G115" s="3">
        <v>45.216000000000001</v>
      </c>
      <c r="J115" s="3" t="s">
        <v>486</v>
      </c>
      <c r="K115" s="11">
        <v>1.6240000000000001</v>
      </c>
      <c r="L115" s="11"/>
      <c r="M115" s="11"/>
      <c r="N115" s="11"/>
      <c r="O115">
        <f t="shared" si="1"/>
        <v>1.6240000000000001</v>
      </c>
    </row>
    <row r="116" spans="1:15" x14ac:dyDescent="0.35">
      <c r="A116" s="2">
        <v>42841</v>
      </c>
      <c r="B116" s="3" t="s">
        <v>206</v>
      </c>
      <c r="C116" s="3" t="s">
        <v>15</v>
      </c>
      <c r="D116" s="3" t="s">
        <v>11</v>
      </c>
      <c r="E116" s="3" t="s">
        <v>38</v>
      </c>
      <c r="F116" s="3" t="s">
        <v>39</v>
      </c>
      <c r="G116" s="3">
        <v>1447.65</v>
      </c>
      <c r="J116" s="3" t="s">
        <v>563</v>
      </c>
      <c r="K116" s="11"/>
      <c r="L116" s="11"/>
      <c r="M116" s="11">
        <v>43.584000000000003</v>
      </c>
      <c r="N116" s="11"/>
      <c r="O116">
        <f t="shared" si="1"/>
        <v>43.584000000000003</v>
      </c>
    </row>
    <row r="117" spans="1:15" x14ac:dyDescent="0.35">
      <c r="A117" s="2">
        <v>42843</v>
      </c>
      <c r="B117" s="3" t="s">
        <v>207</v>
      </c>
      <c r="C117" s="3" t="s">
        <v>15</v>
      </c>
      <c r="D117" s="3" t="s">
        <v>16</v>
      </c>
      <c r="E117" s="3" t="s">
        <v>23</v>
      </c>
      <c r="F117" s="3" t="s">
        <v>208</v>
      </c>
      <c r="G117" s="3">
        <v>19.568000000000001</v>
      </c>
      <c r="J117" s="3" t="s">
        <v>583</v>
      </c>
      <c r="K117" s="11"/>
      <c r="L117" s="11">
        <v>1704.56</v>
      </c>
      <c r="M117" s="11"/>
      <c r="N117" s="11"/>
      <c r="O117">
        <f t="shared" si="1"/>
        <v>1704.56</v>
      </c>
    </row>
    <row r="118" spans="1:15" x14ac:dyDescent="0.35">
      <c r="A118" s="2">
        <v>42849</v>
      </c>
      <c r="B118" s="3" t="s">
        <v>209</v>
      </c>
      <c r="C118" s="3" t="s">
        <v>15</v>
      </c>
      <c r="D118" s="3" t="s">
        <v>49</v>
      </c>
      <c r="E118" s="3" t="s">
        <v>54</v>
      </c>
      <c r="F118" s="3" t="s">
        <v>63</v>
      </c>
      <c r="G118" s="3">
        <v>206.43</v>
      </c>
      <c r="J118" s="3" t="s">
        <v>106</v>
      </c>
      <c r="K118" s="11"/>
      <c r="L118" s="11"/>
      <c r="M118" s="11">
        <v>211.24799999999999</v>
      </c>
      <c r="N118" s="11"/>
      <c r="O118">
        <f t="shared" si="1"/>
        <v>211.24799999999999</v>
      </c>
    </row>
    <row r="119" spans="1:15" x14ac:dyDescent="0.35">
      <c r="A119" s="2">
        <v>42849</v>
      </c>
      <c r="B119" s="3" t="s">
        <v>210</v>
      </c>
      <c r="C119" s="3" t="s">
        <v>15</v>
      </c>
      <c r="D119" s="3" t="s">
        <v>16</v>
      </c>
      <c r="E119" s="3" t="s">
        <v>151</v>
      </c>
      <c r="F119" s="3" t="s">
        <v>211</v>
      </c>
      <c r="G119" s="3">
        <v>272.39999999999998</v>
      </c>
      <c r="J119" s="3" t="s">
        <v>241</v>
      </c>
      <c r="K119" s="11"/>
      <c r="L119" s="11">
        <v>61.96</v>
      </c>
      <c r="M119" s="11"/>
      <c r="N119" s="11"/>
      <c r="O119">
        <f t="shared" si="1"/>
        <v>61.96</v>
      </c>
    </row>
    <row r="120" spans="1:15" x14ac:dyDescent="0.35">
      <c r="A120" s="2">
        <v>42851</v>
      </c>
      <c r="B120" s="3" t="s">
        <v>212</v>
      </c>
      <c r="C120" s="3" t="s">
        <v>44</v>
      </c>
      <c r="D120" s="3" t="s">
        <v>11</v>
      </c>
      <c r="E120" s="3" t="s">
        <v>81</v>
      </c>
      <c r="F120" s="3" t="s">
        <v>82</v>
      </c>
      <c r="G120" s="3">
        <v>43.56</v>
      </c>
      <c r="J120" s="3" t="s">
        <v>225</v>
      </c>
      <c r="K120" s="11"/>
      <c r="L120" s="11">
        <v>160.32</v>
      </c>
      <c r="M120" s="11"/>
      <c r="N120" s="11"/>
      <c r="O120">
        <f t="shared" si="1"/>
        <v>160.32</v>
      </c>
    </row>
    <row r="121" spans="1:15" x14ac:dyDescent="0.35">
      <c r="A121" s="2">
        <v>42852</v>
      </c>
      <c r="B121" s="3" t="s">
        <v>213</v>
      </c>
      <c r="C121" s="3" t="s">
        <v>15</v>
      </c>
      <c r="D121" s="3" t="s">
        <v>16</v>
      </c>
      <c r="E121" s="3" t="s">
        <v>23</v>
      </c>
      <c r="F121" s="3" t="s">
        <v>26</v>
      </c>
      <c r="G121" s="3">
        <v>8.6519999999999992</v>
      </c>
      <c r="J121" s="3" t="s">
        <v>493</v>
      </c>
      <c r="K121" s="11">
        <v>416.32</v>
      </c>
      <c r="L121" s="11"/>
      <c r="M121" s="11"/>
      <c r="N121" s="11"/>
      <c r="O121">
        <f t="shared" si="1"/>
        <v>416.32</v>
      </c>
    </row>
    <row r="122" spans="1:15" x14ac:dyDescent="0.35">
      <c r="A122" s="2">
        <v>42852</v>
      </c>
      <c r="B122" s="3" t="s">
        <v>214</v>
      </c>
      <c r="C122" s="3" t="s">
        <v>44</v>
      </c>
      <c r="D122" s="3" t="s">
        <v>16</v>
      </c>
      <c r="E122" s="3" t="s">
        <v>17</v>
      </c>
      <c r="F122" s="3" t="s">
        <v>215</v>
      </c>
      <c r="G122" s="3">
        <v>186.732</v>
      </c>
      <c r="J122" s="3" t="s">
        <v>291</v>
      </c>
      <c r="K122" s="11">
        <v>77.88</v>
      </c>
      <c r="L122" s="11"/>
      <c r="M122" s="11"/>
      <c r="N122" s="11">
        <v>60.984000000000002</v>
      </c>
      <c r="O122">
        <f t="shared" si="1"/>
        <v>69.432000000000002</v>
      </c>
    </row>
    <row r="123" spans="1:15" x14ac:dyDescent="0.35">
      <c r="A123" s="2">
        <v>42857</v>
      </c>
      <c r="B123" s="3" t="s">
        <v>216</v>
      </c>
      <c r="C123" s="3" t="s">
        <v>15</v>
      </c>
      <c r="D123" s="3" t="s">
        <v>49</v>
      </c>
      <c r="E123" s="3" t="s">
        <v>77</v>
      </c>
      <c r="F123" s="3" t="s">
        <v>78</v>
      </c>
      <c r="G123" s="3">
        <v>23.696000000000002</v>
      </c>
      <c r="J123" s="3" t="s">
        <v>219</v>
      </c>
      <c r="K123" s="11"/>
      <c r="L123" s="11"/>
      <c r="M123" s="11"/>
      <c r="N123" s="11">
        <v>121.792</v>
      </c>
      <c r="O123">
        <f t="shared" si="1"/>
        <v>121.792</v>
      </c>
    </row>
    <row r="124" spans="1:15" x14ac:dyDescent="0.35">
      <c r="A124" s="2">
        <v>42857</v>
      </c>
      <c r="B124" s="3" t="s">
        <v>216</v>
      </c>
      <c r="C124" s="3" t="s">
        <v>15</v>
      </c>
      <c r="D124" s="3" t="s">
        <v>49</v>
      </c>
      <c r="E124" s="3" t="s">
        <v>77</v>
      </c>
      <c r="F124" s="3" t="s">
        <v>78</v>
      </c>
      <c r="G124" s="3">
        <v>18.2</v>
      </c>
      <c r="J124" s="3" t="s">
        <v>505</v>
      </c>
      <c r="K124" s="11">
        <v>38.863999999999997</v>
      </c>
      <c r="L124" s="11"/>
      <c r="M124" s="11"/>
      <c r="N124" s="11"/>
      <c r="O124">
        <f t="shared" si="1"/>
        <v>38.863999999999997</v>
      </c>
    </row>
    <row r="125" spans="1:15" x14ac:dyDescent="0.35">
      <c r="A125" s="2">
        <v>42864</v>
      </c>
      <c r="B125" s="3" t="s">
        <v>113</v>
      </c>
      <c r="C125" s="3" t="s">
        <v>44</v>
      </c>
      <c r="D125" s="3" t="s">
        <v>16</v>
      </c>
      <c r="E125" s="3" t="s">
        <v>65</v>
      </c>
      <c r="F125" s="3" t="s">
        <v>82</v>
      </c>
      <c r="G125" s="3">
        <v>70.97</v>
      </c>
      <c r="J125" s="3" t="s">
        <v>262</v>
      </c>
      <c r="K125" s="11"/>
      <c r="L125" s="11"/>
      <c r="M125" s="11">
        <v>197.72</v>
      </c>
      <c r="N125" s="11"/>
      <c r="O125">
        <f t="shared" si="1"/>
        <v>197.72</v>
      </c>
    </row>
    <row r="126" spans="1:15" x14ac:dyDescent="0.35">
      <c r="A126" s="2">
        <v>42875</v>
      </c>
      <c r="B126" s="3" t="s">
        <v>217</v>
      </c>
      <c r="C126" s="3" t="s">
        <v>15</v>
      </c>
      <c r="D126" s="3" t="s">
        <v>16</v>
      </c>
      <c r="E126" s="3" t="s">
        <v>65</v>
      </c>
      <c r="F126" s="3" t="s">
        <v>218</v>
      </c>
      <c r="G126" s="3">
        <v>20.768000000000001</v>
      </c>
      <c r="J126" s="3" t="s">
        <v>300</v>
      </c>
      <c r="K126" s="11">
        <v>92.063999999999993</v>
      </c>
      <c r="L126" s="11"/>
      <c r="M126" s="11"/>
      <c r="N126" s="11"/>
      <c r="O126">
        <f t="shared" si="1"/>
        <v>92.063999999999993</v>
      </c>
    </row>
    <row r="127" spans="1:15" x14ac:dyDescent="0.35">
      <c r="A127" s="2">
        <v>42877</v>
      </c>
      <c r="B127" s="3" t="s">
        <v>219</v>
      </c>
      <c r="C127" s="3" t="s">
        <v>15</v>
      </c>
      <c r="D127" s="3" t="s">
        <v>11</v>
      </c>
      <c r="E127" s="3" t="s">
        <v>220</v>
      </c>
      <c r="F127" s="3" t="s">
        <v>221</v>
      </c>
      <c r="G127" s="3">
        <v>121.792</v>
      </c>
      <c r="J127" s="3" t="s">
        <v>274</v>
      </c>
      <c r="K127" s="11"/>
      <c r="L127" s="11"/>
      <c r="M127" s="11"/>
      <c r="N127" s="11">
        <v>325.63200000000001</v>
      </c>
      <c r="O127">
        <f t="shared" si="1"/>
        <v>325.63200000000001</v>
      </c>
    </row>
    <row r="128" spans="1:15" x14ac:dyDescent="0.35">
      <c r="A128" s="2">
        <v>42877</v>
      </c>
      <c r="B128" s="3" t="s">
        <v>222</v>
      </c>
      <c r="C128" s="3" t="s">
        <v>44</v>
      </c>
      <c r="D128" s="3" t="s">
        <v>16</v>
      </c>
      <c r="E128" s="3" t="s">
        <v>17</v>
      </c>
      <c r="F128" s="3" t="s">
        <v>70</v>
      </c>
      <c r="G128" s="3">
        <v>850.5</v>
      </c>
      <c r="J128" s="3" t="s">
        <v>329</v>
      </c>
      <c r="K128" s="11">
        <v>364.74</v>
      </c>
      <c r="L128" s="11"/>
      <c r="M128" s="11"/>
      <c r="N128" s="11"/>
      <c r="O128">
        <f t="shared" si="1"/>
        <v>364.74</v>
      </c>
    </row>
    <row r="129" spans="1:15" x14ac:dyDescent="0.35">
      <c r="A129" s="2">
        <v>42879</v>
      </c>
      <c r="B129" s="3" t="s">
        <v>223</v>
      </c>
      <c r="C129" s="3" t="s">
        <v>15</v>
      </c>
      <c r="D129" s="3" t="s">
        <v>11</v>
      </c>
      <c r="E129" s="3" t="s">
        <v>81</v>
      </c>
      <c r="F129" s="3" t="s">
        <v>224</v>
      </c>
      <c r="G129" s="3">
        <v>845.72799999999995</v>
      </c>
      <c r="J129" s="3" t="s">
        <v>404</v>
      </c>
      <c r="K129" s="11"/>
      <c r="L129" s="11">
        <v>901.95</v>
      </c>
      <c r="M129" s="11"/>
      <c r="N129" s="11"/>
      <c r="O129">
        <f t="shared" si="1"/>
        <v>901.95</v>
      </c>
    </row>
    <row r="130" spans="1:15" x14ac:dyDescent="0.35">
      <c r="A130" s="2">
        <v>42884</v>
      </c>
      <c r="B130" s="3" t="s">
        <v>225</v>
      </c>
      <c r="C130" s="3" t="s">
        <v>15</v>
      </c>
      <c r="D130" s="3" t="s">
        <v>49</v>
      </c>
      <c r="E130" s="3" t="s">
        <v>54</v>
      </c>
      <c r="F130" s="3" t="s">
        <v>63</v>
      </c>
      <c r="G130" s="3">
        <v>160.32</v>
      </c>
      <c r="J130" s="3" t="s">
        <v>27</v>
      </c>
      <c r="K130" s="11"/>
      <c r="L130" s="11"/>
      <c r="M130" s="11">
        <v>146.76</v>
      </c>
      <c r="N130" s="11"/>
      <c r="O130">
        <f t="shared" si="1"/>
        <v>146.76</v>
      </c>
    </row>
    <row r="131" spans="1:15" x14ac:dyDescent="0.35">
      <c r="A131" s="2">
        <v>42893</v>
      </c>
      <c r="B131" s="3" t="s">
        <v>176</v>
      </c>
      <c r="C131" s="3" t="s">
        <v>15</v>
      </c>
      <c r="D131" s="3" t="s">
        <v>16</v>
      </c>
      <c r="E131" s="3" t="s">
        <v>65</v>
      </c>
      <c r="F131" s="3" t="s">
        <v>66</v>
      </c>
      <c r="G131" s="3">
        <v>143.12799999999999</v>
      </c>
      <c r="J131" s="3" t="s">
        <v>381</v>
      </c>
      <c r="K131" s="11">
        <v>1927.59</v>
      </c>
      <c r="L131" s="11">
        <v>161.56800000000001</v>
      </c>
      <c r="M131" s="11"/>
      <c r="N131" s="11"/>
      <c r="O131">
        <f t="shared" si="1"/>
        <v>1044.579</v>
      </c>
    </row>
    <row r="132" spans="1:15" x14ac:dyDescent="0.35">
      <c r="A132" s="2">
        <v>42917</v>
      </c>
      <c r="B132" s="3" t="s">
        <v>226</v>
      </c>
      <c r="C132" s="3" t="s">
        <v>15</v>
      </c>
      <c r="D132" s="3" t="s">
        <v>16</v>
      </c>
      <c r="E132" s="3" t="s">
        <v>23</v>
      </c>
      <c r="F132" s="3" t="s">
        <v>26</v>
      </c>
      <c r="G132" s="3">
        <v>32.783999999999999</v>
      </c>
      <c r="J132" s="3" t="s">
        <v>59</v>
      </c>
      <c r="K132" s="11"/>
      <c r="L132" s="11">
        <v>304.61</v>
      </c>
      <c r="M132" s="11"/>
      <c r="N132" s="11"/>
      <c r="O132">
        <f t="shared" si="1"/>
        <v>304.61</v>
      </c>
    </row>
    <row r="133" spans="1:15" x14ac:dyDescent="0.35">
      <c r="A133" s="2">
        <v>42924</v>
      </c>
      <c r="B133" s="3" t="s">
        <v>227</v>
      </c>
      <c r="C133" s="3" t="s">
        <v>10</v>
      </c>
      <c r="D133" s="3" t="s">
        <v>16</v>
      </c>
      <c r="E133" s="3" t="s">
        <v>23</v>
      </c>
      <c r="F133" s="3" t="s">
        <v>24</v>
      </c>
      <c r="G133" s="3">
        <v>48.631999999999998</v>
      </c>
      <c r="J133" s="3" t="s">
        <v>390</v>
      </c>
      <c r="K133" s="11">
        <v>37.68</v>
      </c>
      <c r="L133" s="11"/>
      <c r="M133" s="11">
        <v>20.768000000000001</v>
      </c>
      <c r="N133" s="11"/>
      <c r="O133">
        <f t="shared" si="1"/>
        <v>29.224</v>
      </c>
    </row>
    <row r="134" spans="1:15" x14ac:dyDescent="0.35">
      <c r="A134" s="2">
        <v>42938</v>
      </c>
      <c r="B134" s="3" t="s">
        <v>228</v>
      </c>
      <c r="C134" s="3" t="s">
        <v>44</v>
      </c>
      <c r="D134" s="3" t="s">
        <v>49</v>
      </c>
      <c r="E134" s="3" t="s">
        <v>54</v>
      </c>
      <c r="F134" s="3" t="s">
        <v>63</v>
      </c>
      <c r="G134" s="3">
        <v>68.94</v>
      </c>
      <c r="J134" s="3" t="s">
        <v>434</v>
      </c>
      <c r="K134" s="11"/>
      <c r="L134" s="11"/>
      <c r="M134" s="11"/>
      <c r="N134" s="11">
        <v>1640.7</v>
      </c>
      <c r="O134">
        <f t="shared" ref="O134:O197" si="2">AVERAGE(K134:N134)</f>
        <v>1640.7</v>
      </c>
    </row>
    <row r="135" spans="1:15" x14ac:dyDescent="0.35">
      <c r="A135" s="2">
        <v>42953</v>
      </c>
      <c r="B135" s="3" t="s">
        <v>229</v>
      </c>
      <c r="C135" s="3" t="s">
        <v>10</v>
      </c>
      <c r="D135" s="3" t="s">
        <v>49</v>
      </c>
      <c r="E135" s="3" t="s">
        <v>230</v>
      </c>
      <c r="F135" s="3" t="s">
        <v>231</v>
      </c>
      <c r="G135" s="3">
        <v>77.58</v>
      </c>
      <c r="J135" s="3" t="s">
        <v>236</v>
      </c>
      <c r="K135" s="11"/>
      <c r="L135" s="11"/>
      <c r="M135" s="11">
        <v>568.80000000000007</v>
      </c>
      <c r="N135" s="11"/>
      <c r="O135">
        <f t="shared" si="2"/>
        <v>568.80000000000007</v>
      </c>
    </row>
    <row r="136" spans="1:15" x14ac:dyDescent="0.35">
      <c r="A136" s="2">
        <v>42954</v>
      </c>
      <c r="B136" s="3" t="s">
        <v>232</v>
      </c>
      <c r="C136" s="3" t="s">
        <v>15</v>
      </c>
      <c r="D136" s="3" t="s">
        <v>49</v>
      </c>
      <c r="E136" s="3" t="s">
        <v>60</v>
      </c>
      <c r="F136" s="3" t="s">
        <v>61</v>
      </c>
      <c r="G136" s="3">
        <v>113.92</v>
      </c>
      <c r="J136" s="3" t="s">
        <v>255</v>
      </c>
      <c r="K136" s="11">
        <v>269.91000000000003</v>
      </c>
      <c r="L136" s="11"/>
      <c r="M136" s="11"/>
      <c r="N136" s="11"/>
      <c r="O136">
        <f t="shared" si="2"/>
        <v>269.91000000000003</v>
      </c>
    </row>
    <row r="137" spans="1:15" x14ac:dyDescent="0.35">
      <c r="A137" s="2">
        <v>42956</v>
      </c>
      <c r="B137" s="3" t="s">
        <v>169</v>
      </c>
      <c r="C137" s="3" t="s">
        <v>15</v>
      </c>
      <c r="D137" s="3" t="s">
        <v>11</v>
      </c>
      <c r="E137" s="3" t="s">
        <v>12</v>
      </c>
      <c r="F137" s="3" t="s">
        <v>233</v>
      </c>
      <c r="G137" s="3">
        <v>133.47200000000001</v>
      </c>
      <c r="J137" s="3" t="s">
        <v>368</v>
      </c>
      <c r="K137" s="11">
        <v>62.79</v>
      </c>
      <c r="L137" s="11"/>
      <c r="M137" s="11"/>
      <c r="N137" s="11"/>
      <c r="O137">
        <f t="shared" si="2"/>
        <v>62.79</v>
      </c>
    </row>
    <row r="138" spans="1:15" x14ac:dyDescent="0.35">
      <c r="A138" s="2">
        <v>42969</v>
      </c>
      <c r="B138" s="3" t="s">
        <v>234</v>
      </c>
      <c r="C138" s="3" t="s">
        <v>15</v>
      </c>
      <c r="D138" s="3" t="s">
        <v>16</v>
      </c>
      <c r="E138" s="3" t="s">
        <v>65</v>
      </c>
      <c r="F138" s="3" t="s">
        <v>235</v>
      </c>
      <c r="G138" s="3">
        <v>5.7679999999999998</v>
      </c>
      <c r="J138" s="3" t="s">
        <v>310</v>
      </c>
      <c r="K138" s="11"/>
      <c r="L138" s="11">
        <v>901.95</v>
      </c>
      <c r="M138" s="11"/>
      <c r="N138" s="11"/>
      <c r="O138">
        <f t="shared" si="2"/>
        <v>901.95</v>
      </c>
    </row>
    <row r="139" spans="1:15" x14ac:dyDescent="0.35">
      <c r="A139" s="2">
        <v>42969</v>
      </c>
      <c r="B139" s="3" t="s">
        <v>236</v>
      </c>
      <c r="C139" s="3" t="s">
        <v>15</v>
      </c>
      <c r="D139" s="3" t="s">
        <v>28</v>
      </c>
      <c r="E139" s="3" t="s">
        <v>41</v>
      </c>
      <c r="F139" s="3" t="s">
        <v>237</v>
      </c>
      <c r="G139" s="3">
        <v>542.94000000000005</v>
      </c>
      <c r="J139" s="3" t="s">
        <v>206</v>
      </c>
      <c r="K139" s="11"/>
      <c r="L139" s="11"/>
      <c r="M139" s="11"/>
      <c r="N139" s="11">
        <v>1447.65</v>
      </c>
      <c r="O139">
        <f t="shared" si="2"/>
        <v>1447.65</v>
      </c>
    </row>
    <row r="140" spans="1:15" x14ac:dyDescent="0.35">
      <c r="A140" s="2">
        <v>42969</v>
      </c>
      <c r="B140" s="3" t="s">
        <v>236</v>
      </c>
      <c r="C140" s="3" t="s">
        <v>15</v>
      </c>
      <c r="D140" s="3" t="s">
        <v>28</v>
      </c>
      <c r="E140" s="3" t="s">
        <v>41</v>
      </c>
      <c r="F140" s="3" t="s">
        <v>237</v>
      </c>
      <c r="G140" s="3">
        <v>25.86</v>
      </c>
      <c r="J140" s="3" t="s">
        <v>456</v>
      </c>
      <c r="K140" s="11"/>
      <c r="L140" s="11"/>
      <c r="M140" s="11"/>
      <c r="N140" s="11">
        <v>381.36</v>
      </c>
      <c r="O140">
        <f t="shared" si="2"/>
        <v>381.36</v>
      </c>
    </row>
    <row r="141" spans="1:15" x14ac:dyDescent="0.35">
      <c r="A141" s="2">
        <v>42971</v>
      </c>
      <c r="B141" s="3" t="s">
        <v>238</v>
      </c>
      <c r="C141" s="3" t="s">
        <v>44</v>
      </c>
      <c r="D141" s="3" t="s">
        <v>11</v>
      </c>
      <c r="E141" s="3" t="s">
        <v>38</v>
      </c>
      <c r="F141" s="3" t="s">
        <v>45</v>
      </c>
      <c r="G141" s="3">
        <v>105.96</v>
      </c>
      <c r="J141" s="3" t="s">
        <v>544</v>
      </c>
      <c r="K141" s="11"/>
      <c r="L141" s="11"/>
      <c r="M141" s="11">
        <v>167.44</v>
      </c>
      <c r="N141" s="11"/>
      <c r="O141">
        <f t="shared" si="2"/>
        <v>167.44</v>
      </c>
    </row>
    <row r="142" spans="1:15" x14ac:dyDescent="0.35">
      <c r="A142" s="2">
        <v>42980</v>
      </c>
      <c r="B142" s="3" t="s">
        <v>122</v>
      </c>
      <c r="C142" s="3" t="s">
        <v>10</v>
      </c>
      <c r="D142" s="3" t="s">
        <v>49</v>
      </c>
      <c r="E142" s="3" t="s">
        <v>100</v>
      </c>
      <c r="F142" s="3" t="s">
        <v>239</v>
      </c>
      <c r="G142" s="3">
        <v>137.62</v>
      </c>
      <c r="J142" s="3" t="s">
        <v>530</v>
      </c>
      <c r="K142" s="11"/>
      <c r="L142" s="11"/>
      <c r="M142" s="11"/>
      <c r="N142" s="11">
        <v>15.8</v>
      </c>
      <c r="O142">
        <f t="shared" si="2"/>
        <v>15.8</v>
      </c>
    </row>
    <row r="143" spans="1:15" x14ac:dyDescent="0.35">
      <c r="A143" s="2">
        <v>42983</v>
      </c>
      <c r="B143" s="3" t="s">
        <v>240</v>
      </c>
      <c r="C143" s="3" t="s">
        <v>10</v>
      </c>
      <c r="D143" s="3" t="s">
        <v>49</v>
      </c>
      <c r="E143" s="3" t="s">
        <v>54</v>
      </c>
      <c r="F143" s="3" t="s">
        <v>63</v>
      </c>
      <c r="G143" s="3">
        <v>8.39</v>
      </c>
      <c r="J143" s="3" t="s">
        <v>62</v>
      </c>
      <c r="K143" s="11"/>
      <c r="L143" s="11">
        <v>208.16</v>
      </c>
      <c r="M143" s="11"/>
      <c r="N143" s="11"/>
      <c r="O143">
        <f t="shared" si="2"/>
        <v>208.16</v>
      </c>
    </row>
    <row r="144" spans="1:15" x14ac:dyDescent="0.35">
      <c r="A144" s="2">
        <v>42987</v>
      </c>
      <c r="B144" s="3" t="s">
        <v>241</v>
      </c>
      <c r="C144" s="3" t="s">
        <v>10</v>
      </c>
      <c r="D144" s="3" t="s">
        <v>49</v>
      </c>
      <c r="E144" s="3" t="s">
        <v>60</v>
      </c>
      <c r="F144" s="3" t="s">
        <v>242</v>
      </c>
      <c r="G144" s="3">
        <v>61.96</v>
      </c>
      <c r="J144" s="3" t="s">
        <v>549</v>
      </c>
      <c r="K144" s="11"/>
      <c r="L144" s="11"/>
      <c r="M144" s="11"/>
      <c r="N144" s="11">
        <v>10.89</v>
      </c>
      <c r="O144">
        <f t="shared" si="2"/>
        <v>10.89</v>
      </c>
    </row>
    <row r="145" spans="1:15" x14ac:dyDescent="0.35">
      <c r="A145" s="2">
        <v>42988</v>
      </c>
      <c r="B145" s="3" t="s">
        <v>243</v>
      </c>
      <c r="C145" s="3" t="s">
        <v>44</v>
      </c>
      <c r="D145" s="3" t="s">
        <v>49</v>
      </c>
      <c r="E145" s="3" t="s">
        <v>117</v>
      </c>
      <c r="F145" s="3" t="s">
        <v>244</v>
      </c>
      <c r="G145" s="3">
        <v>111.04</v>
      </c>
      <c r="J145" s="3" t="s">
        <v>276</v>
      </c>
      <c r="K145" s="11">
        <v>68.81</v>
      </c>
      <c r="L145" s="11"/>
      <c r="M145" s="11"/>
      <c r="N145" s="11"/>
      <c r="O145">
        <f t="shared" si="2"/>
        <v>68.81</v>
      </c>
    </row>
    <row r="146" spans="1:15" x14ac:dyDescent="0.35">
      <c r="A146" s="2">
        <v>42999</v>
      </c>
      <c r="B146" s="3" t="s">
        <v>245</v>
      </c>
      <c r="C146" s="3" t="s">
        <v>10</v>
      </c>
      <c r="D146" s="3" t="s">
        <v>11</v>
      </c>
      <c r="E146" s="3" t="s">
        <v>38</v>
      </c>
      <c r="F146" s="3" t="s">
        <v>45</v>
      </c>
      <c r="G146" s="3">
        <v>61.44</v>
      </c>
      <c r="J146" s="3" t="s">
        <v>86</v>
      </c>
      <c r="K146" s="11">
        <v>4.992</v>
      </c>
      <c r="L146" s="11"/>
      <c r="M146" s="11"/>
      <c r="N146" s="11"/>
      <c r="O146">
        <f t="shared" si="2"/>
        <v>4.992</v>
      </c>
    </row>
    <row r="147" spans="1:15" x14ac:dyDescent="0.35">
      <c r="A147" s="2">
        <v>43001</v>
      </c>
      <c r="B147" s="3" t="s">
        <v>246</v>
      </c>
      <c r="C147" s="3" t="s">
        <v>10</v>
      </c>
      <c r="D147" s="3" t="s">
        <v>11</v>
      </c>
      <c r="E147" s="3" t="s">
        <v>38</v>
      </c>
      <c r="F147" s="3" t="s">
        <v>45</v>
      </c>
      <c r="G147" s="3">
        <v>1158.1199999999999</v>
      </c>
      <c r="J147" s="3" t="s">
        <v>460</v>
      </c>
      <c r="K147" s="11">
        <v>87.168000000000006</v>
      </c>
      <c r="L147" s="11"/>
      <c r="M147" s="11"/>
      <c r="N147" s="11"/>
      <c r="O147">
        <f t="shared" si="2"/>
        <v>87.168000000000006</v>
      </c>
    </row>
    <row r="148" spans="1:15" x14ac:dyDescent="0.35">
      <c r="A148" s="2">
        <v>43003</v>
      </c>
      <c r="B148" s="3" t="s">
        <v>247</v>
      </c>
      <c r="C148" s="3" t="s">
        <v>10</v>
      </c>
      <c r="D148" s="3" t="s">
        <v>11</v>
      </c>
      <c r="E148" s="3" t="s">
        <v>220</v>
      </c>
      <c r="F148" s="3" t="s">
        <v>248</v>
      </c>
      <c r="G148" s="3">
        <v>60.671999999999997</v>
      </c>
      <c r="J148" s="3" t="s">
        <v>374</v>
      </c>
      <c r="K148" s="11"/>
      <c r="L148" s="11">
        <v>393.25</v>
      </c>
      <c r="M148" s="11"/>
      <c r="N148" s="11"/>
      <c r="O148">
        <f t="shared" si="2"/>
        <v>393.25</v>
      </c>
    </row>
    <row r="149" spans="1:15" x14ac:dyDescent="0.35">
      <c r="A149" s="2">
        <v>43005</v>
      </c>
      <c r="B149" s="3" t="s">
        <v>249</v>
      </c>
      <c r="C149" s="3" t="s">
        <v>10</v>
      </c>
      <c r="D149" s="3" t="s">
        <v>11</v>
      </c>
      <c r="E149" s="3" t="s">
        <v>38</v>
      </c>
      <c r="F149" s="3" t="s">
        <v>39</v>
      </c>
      <c r="G149" s="3">
        <v>43.26</v>
      </c>
      <c r="J149" s="3" t="s">
        <v>354</v>
      </c>
      <c r="K149" s="11"/>
      <c r="L149" s="11"/>
      <c r="M149" s="11">
        <v>569.53599999999994</v>
      </c>
      <c r="N149" s="11"/>
      <c r="O149">
        <f t="shared" si="2"/>
        <v>569.53599999999994</v>
      </c>
    </row>
    <row r="150" spans="1:15" x14ac:dyDescent="0.35">
      <c r="A150" s="2">
        <v>43005</v>
      </c>
      <c r="B150" s="3" t="s">
        <v>249</v>
      </c>
      <c r="C150" s="3" t="s">
        <v>10</v>
      </c>
      <c r="D150" s="3" t="s">
        <v>11</v>
      </c>
      <c r="E150" s="3" t="s">
        <v>38</v>
      </c>
      <c r="F150" s="3" t="s">
        <v>39</v>
      </c>
      <c r="G150" s="3">
        <v>43.56</v>
      </c>
      <c r="J150" s="3" t="s">
        <v>360</v>
      </c>
      <c r="K150" s="11"/>
      <c r="L150" s="11">
        <v>355.32</v>
      </c>
      <c r="M150" s="11"/>
      <c r="N150" s="11"/>
      <c r="O150">
        <f t="shared" si="2"/>
        <v>355.32</v>
      </c>
    </row>
    <row r="151" spans="1:15" x14ac:dyDescent="0.35">
      <c r="A151" s="2">
        <v>43005</v>
      </c>
      <c r="B151" s="3" t="s">
        <v>250</v>
      </c>
      <c r="C151" s="3" t="s">
        <v>15</v>
      </c>
      <c r="D151" s="3" t="s">
        <v>49</v>
      </c>
      <c r="E151" s="3" t="s">
        <v>54</v>
      </c>
      <c r="F151" s="3" t="s">
        <v>63</v>
      </c>
      <c r="G151" s="3">
        <v>293.52</v>
      </c>
      <c r="J151" s="3" t="s">
        <v>249</v>
      </c>
      <c r="K151" s="11"/>
      <c r="L151" s="11"/>
      <c r="M151" s="11"/>
      <c r="N151" s="11">
        <v>86.82</v>
      </c>
      <c r="O151">
        <f t="shared" si="2"/>
        <v>86.82</v>
      </c>
    </row>
    <row r="152" spans="1:15" x14ac:dyDescent="0.35">
      <c r="A152" s="2">
        <v>43005</v>
      </c>
      <c r="B152" s="3" t="s">
        <v>251</v>
      </c>
      <c r="C152" s="3" t="s">
        <v>10</v>
      </c>
      <c r="D152" s="3" t="s">
        <v>11</v>
      </c>
      <c r="E152" s="3" t="s">
        <v>38</v>
      </c>
      <c r="F152" s="3" t="s">
        <v>45</v>
      </c>
      <c r="G152" s="3">
        <v>186.15</v>
      </c>
      <c r="J152" s="3" t="s">
        <v>143</v>
      </c>
      <c r="K152" s="11">
        <v>3.16</v>
      </c>
      <c r="L152" s="11"/>
      <c r="M152" s="11">
        <v>17.34</v>
      </c>
      <c r="N152" s="11"/>
      <c r="O152">
        <f t="shared" si="2"/>
        <v>10.25</v>
      </c>
    </row>
    <row r="153" spans="1:15" x14ac:dyDescent="0.35">
      <c r="A153" s="2">
        <v>43012</v>
      </c>
      <c r="B153" s="3" t="s">
        <v>252</v>
      </c>
      <c r="C153" s="3" t="s">
        <v>44</v>
      </c>
      <c r="D153" s="3" t="s">
        <v>28</v>
      </c>
      <c r="E153" s="3" t="s">
        <v>253</v>
      </c>
      <c r="F153" s="3" t="s">
        <v>13</v>
      </c>
      <c r="G153" s="3">
        <v>28.84</v>
      </c>
      <c r="J153" s="3" t="s">
        <v>199</v>
      </c>
      <c r="K153" s="11"/>
      <c r="L153" s="11">
        <v>370.14</v>
      </c>
      <c r="M153" s="11"/>
      <c r="N153" s="11"/>
      <c r="O153">
        <f t="shared" si="2"/>
        <v>370.14</v>
      </c>
    </row>
    <row r="154" spans="1:15" x14ac:dyDescent="0.35">
      <c r="A154" s="2">
        <v>43016</v>
      </c>
      <c r="B154" s="3" t="s">
        <v>128</v>
      </c>
      <c r="C154" s="3" t="s">
        <v>10</v>
      </c>
      <c r="D154" s="3" t="s">
        <v>16</v>
      </c>
      <c r="E154" s="3" t="s">
        <v>17</v>
      </c>
      <c r="F154" s="3" t="s">
        <v>254</v>
      </c>
      <c r="G154" s="3">
        <v>29.402999999999999</v>
      </c>
      <c r="J154" s="3" t="s">
        <v>469</v>
      </c>
      <c r="K154" s="11"/>
      <c r="L154" s="11"/>
      <c r="M154" s="11">
        <v>87.32</v>
      </c>
      <c r="N154" s="11"/>
      <c r="O154">
        <f t="shared" si="2"/>
        <v>87.32</v>
      </c>
    </row>
    <row r="155" spans="1:15" x14ac:dyDescent="0.35">
      <c r="A155" s="2">
        <v>43016</v>
      </c>
      <c r="B155" s="3" t="s">
        <v>255</v>
      </c>
      <c r="C155" s="3" t="s">
        <v>15</v>
      </c>
      <c r="D155" s="3" t="s">
        <v>16</v>
      </c>
      <c r="E155" s="3" t="s">
        <v>17</v>
      </c>
      <c r="F155" s="3" t="s">
        <v>70</v>
      </c>
      <c r="G155" s="3">
        <v>269.91000000000003</v>
      </c>
      <c r="J155" s="3" t="s">
        <v>504</v>
      </c>
      <c r="K155" s="11"/>
      <c r="L155" s="11">
        <v>97.84</v>
      </c>
      <c r="M155" s="11"/>
      <c r="N155" s="11"/>
      <c r="O155">
        <f t="shared" si="2"/>
        <v>97.84</v>
      </c>
    </row>
    <row r="156" spans="1:15" x14ac:dyDescent="0.35">
      <c r="A156" s="2">
        <v>43025</v>
      </c>
      <c r="B156" s="3" t="s">
        <v>256</v>
      </c>
      <c r="C156" s="3" t="s">
        <v>44</v>
      </c>
      <c r="D156" s="3" t="s">
        <v>16</v>
      </c>
      <c r="E156" s="3" t="s">
        <v>23</v>
      </c>
      <c r="F156" s="3" t="s">
        <v>257</v>
      </c>
      <c r="G156" s="3">
        <v>73.164000000000001</v>
      </c>
      <c r="J156" s="3" t="s">
        <v>184</v>
      </c>
      <c r="K156" s="11"/>
      <c r="L156" s="11"/>
      <c r="M156" s="11"/>
      <c r="N156" s="11">
        <v>87.36</v>
      </c>
      <c r="O156">
        <f t="shared" si="2"/>
        <v>87.36</v>
      </c>
    </row>
    <row r="157" spans="1:15" x14ac:dyDescent="0.35">
      <c r="A157" s="2">
        <v>43026</v>
      </c>
      <c r="B157" s="3" t="s">
        <v>258</v>
      </c>
      <c r="C157" s="3" t="s">
        <v>44</v>
      </c>
      <c r="D157" s="3" t="s">
        <v>11</v>
      </c>
      <c r="E157" s="3" t="s">
        <v>38</v>
      </c>
      <c r="F157" s="3" t="s">
        <v>45</v>
      </c>
      <c r="G157" s="3">
        <v>1640.7</v>
      </c>
      <c r="J157" s="3" t="s">
        <v>154</v>
      </c>
      <c r="K157" s="11"/>
      <c r="L157" s="11"/>
      <c r="M157" s="11">
        <v>333.05599999999998</v>
      </c>
      <c r="N157" s="11"/>
      <c r="O157">
        <f t="shared" si="2"/>
        <v>333.05599999999998</v>
      </c>
    </row>
    <row r="158" spans="1:15" x14ac:dyDescent="0.35">
      <c r="A158" s="2">
        <v>43033</v>
      </c>
      <c r="B158" s="3" t="s">
        <v>259</v>
      </c>
      <c r="C158" s="3" t="s">
        <v>10</v>
      </c>
      <c r="D158" s="3" t="s">
        <v>11</v>
      </c>
      <c r="E158" s="3" t="s">
        <v>12</v>
      </c>
      <c r="F158" s="3" t="s">
        <v>13</v>
      </c>
      <c r="G158" s="3">
        <v>203.88</v>
      </c>
      <c r="J158" s="3" t="s">
        <v>539</v>
      </c>
      <c r="K158" s="11"/>
      <c r="L158" s="11"/>
      <c r="M158" s="11"/>
      <c r="N158" s="11">
        <v>1702.12</v>
      </c>
      <c r="O158">
        <f t="shared" si="2"/>
        <v>1702.12</v>
      </c>
    </row>
    <row r="159" spans="1:15" x14ac:dyDescent="0.35">
      <c r="A159" s="2">
        <v>43037</v>
      </c>
      <c r="B159" s="3" t="s">
        <v>260</v>
      </c>
      <c r="C159" s="3" t="s">
        <v>15</v>
      </c>
      <c r="D159" s="3" t="s">
        <v>28</v>
      </c>
      <c r="E159" s="3" t="s">
        <v>253</v>
      </c>
      <c r="F159" s="3" t="s">
        <v>261</v>
      </c>
      <c r="G159" s="3">
        <v>182.91</v>
      </c>
      <c r="J159" s="3" t="s">
        <v>64</v>
      </c>
      <c r="K159" s="11">
        <v>75.599999999999994</v>
      </c>
      <c r="L159" s="11"/>
      <c r="M159" s="11"/>
      <c r="N159" s="11"/>
      <c r="O159">
        <f t="shared" si="2"/>
        <v>75.599999999999994</v>
      </c>
    </row>
    <row r="160" spans="1:15" x14ac:dyDescent="0.35">
      <c r="A160" s="2">
        <v>43040</v>
      </c>
      <c r="B160" s="3" t="s">
        <v>262</v>
      </c>
      <c r="C160" s="3" t="s">
        <v>15</v>
      </c>
      <c r="D160" s="3" t="s">
        <v>28</v>
      </c>
      <c r="E160" s="3" t="s">
        <v>253</v>
      </c>
      <c r="F160" s="3" t="s">
        <v>263</v>
      </c>
      <c r="G160" s="3">
        <v>197.72</v>
      </c>
      <c r="J160" s="3" t="s">
        <v>424</v>
      </c>
      <c r="K160" s="11">
        <v>15.224</v>
      </c>
      <c r="L160" s="11"/>
      <c r="M160" s="11"/>
      <c r="N160" s="11"/>
      <c r="O160">
        <f t="shared" si="2"/>
        <v>15.224</v>
      </c>
    </row>
    <row r="161" spans="1:15" x14ac:dyDescent="0.35">
      <c r="A161" s="2">
        <v>43043</v>
      </c>
      <c r="B161" s="3" t="s">
        <v>94</v>
      </c>
      <c r="C161" s="3" t="s">
        <v>15</v>
      </c>
      <c r="D161" s="3" t="s">
        <v>28</v>
      </c>
      <c r="E161" s="3" t="s">
        <v>107</v>
      </c>
      <c r="F161" s="3" t="s">
        <v>192</v>
      </c>
      <c r="G161" s="3">
        <v>387.13600000000002</v>
      </c>
      <c r="J161" s="3" t="s">
        <v>559</v>
      </c>
      <c r="K161" s="11">
        <v>13.762</v>
      </c>
      <c r="L161" s="11"/>
      <c r="M161" s="11"/>
      <c r="N161" s="11"/>
      <c r="O161">
        <f t="shared" si="2"/>
        <v>13.762</v>
      </c>
    </row>
    <row r="162" spans="1:15" x14ac:dyDescent="0.35">
      <c r="A162" s="2">
        <v>43046</v>
      </c>
      <c r="B162" s="3" t="s">
        <v>264</v>
      </c>
      <c r="C162" s="3" t="s">
        <v>15</v>
      </c>
      <c r="D162" s="3" t="s">
        <v>28</v>
      </c>
      <c r="E162" s="3" t="s">
        <v>253</v>
      </c>
      <c r="F162" s="3" t="s">
        <v>265</v>
      </c>
      <c r="G162" s="3">
        <v>44.43</v>
      </c>
      <c r="J162" s="3" t="s">
        <v>455</v>
      </c>
      <c r="K162" s="11"/>
      <c r="L162" s="11"/>
      <c r="M162" s="11"/>
      <c r="N162" s="11">
        <v>90.86</v>
      </c>
      <c r="O162">
        <f t="shared" si="2"/>
        <v>90.86</v>
      </c>
    </row>
    <row r="163" spans="1:15" x14ac:dyDescent="0.35">
      <c r="A163" s="2">
        <v>43048</v>
      </c>
      <c r="B163" s="3" t="s">
        <v>266</v>
      </c>
      <c r="C163" s="3" t="s">
        <v>44</v>
      </c>
      <c r="D163" s="3" t="s">
        <v>16</v>
      </c>
      <c r="E163" s="3" t="s">
        <v>32</v>
      </c>
      <c r="F163" s="3" t="s">
        <v>267</v>
      </c>
      <c r="G163" s="3">
        <v>715.64</v>
      </c>
      <c r="J163" s="3" t="s">
        <v>432</v>
      </c>
      <c r="K163" s="11"/>
      <c r="L163" s="11">
        <v>32.67</v>
      </c>
      <c r="M163" s="11"/>
      <c r="N163" s="11"/>
      <c r="O163">
        <f t="shared" si="2"/>
        <v>32.67</v>
      </c>
    </row>
    <row r="164" spans="1:15" x14ac:dyDescent="0.35">
      <c r="A164" s="2">
        <v>43049</v>
      </c>
      <c r="B164" s="3" t="s">
        <v>268</v>
      </c>
      <c r="C164" s="3" t="s">
        <v>10</v>
      </c>
      <c r="D164" s="3" t="s">
        <v>16</v>
      </c>
      <c r="E164" s="3" t="s">
        <v>17</v>
      </c>
      <c r="F164" s="3" t="s">
        <v>70</v>
      </c>
      <c r="G164" s="3">
        <v>123.858</v>
      </c>
      <c r="J164" s="3" t="s">
        <v>288</v>
      </c>
      <c r="K164" s="11"/>
      <c r="L164" s="11">
        <v>526.73599999999999</v>
      </c>
      <c r="M164" s="11"/>
      <c r="N164" s="11">
        <v>83.79</v>
      </c>
      <c r="O164">
        <f t="shared" si="2"/>
        <v>305.26299999999998</v>
      </c>
    </row>
    <row r="165" spans="1:15" x14ac:dyDescent="0.35">
      <c r="A165" s="2">
        <v>43052</v>
      </c>
      <c r="B165" s="3" t="s">
        <v>269</v>
      </c>
      <c r="C165" s="3" t="s">
        <v>10</v>
      </c>
      <c r="D165" s="3" t="s">
        <v>28</v>
      </c>
      <c r="E165" s="3" t="s">
        <v>253</v>
      </c>
      <c r="F165" s="3" t="s">
        <v>13</v>
      </c>
      <c r="G165" s="3">
        <v>826.11</v>
      </c>
      <c r="J165" s="3" t="s">
        <v>122</v>
      </c>
      <c r="K165" s="11">
        <v>52.448</v>
      </c>
      <c r="L165" s="11">
        <v>137.62</v>
      </c>
      <c r="M165" s="11">
        <v>23.696000000000002</v>
      </c>
      <c r="N165" s="11"/>
      <c r="O165">
        <f t="shared" si="2"/>
        <v>71.254666666666665</v>
      </c>
    </row>
    <row r="166" spans="1:15" x14ac:dyDescent="0.35">
      <c r="A166" s="2">
        <v>43054</v>
      </c>
      <c r="B166" s="3" t="s">
        <v>266</v>
      </c>
      <c r="C166" s="3" t="s">
        <v>44</v>
      </c>
      <c r="D166" s="3" t="s">
        <v>49</v>
      </c>
      <c r="E166" s="3" t="s">
        <v>54</v>
      </c>
      <c r="F166" s="3" t="s">
        <v>63</v>
      </c>
      <c r="G166" s="3">
        <v>523.25</v>
      </c>
      <c r="J166" s="3" t="s">
        <v>250</v>
      </c>
      <c r="K166" s="11"/>
      <c r="L166" s="11">
        <v>293.52</v>
      </c>
      <c r="M166" s="11"/>
      <c r="N166" s="11"/>
      <c r="O166">
        <f t="shared" si="2"/>
        <v>293.52</v>
      </c>
    </row>
    <row r="167" spans="1:15" x14ac:dyDescent="0.35">
      <c r="A167" s="2">
        <v>43057</v>
      </c>
      <c r="B167" s="3" t="s">
        <v>270</v>
      </c>
      <c r="C167" s="3" t="s">
        <v>10</v>
      </c>
      <c r="D167" s="3" t="s">
        <v>11</v>
      </c>
      <c r="E167" s="3" t="s">
        <v>271</v>
      </c>
      <c r="F167" s="3" t="s">
        <v>272</v>
      </c>
      <c r="G167" s="3">
        <v>31.08</v>
      </c>
      <c r="J167" s="3" t="s">
        <v>363</v>
      </c>
      <c r="K167" s="11"/>
      <c r="L167" s="11">
        <v>1040.8</v>
      </c>
      <c r="M167" s="11"/>
      <c r="N167" s="11"/>
      <c r="O167">
        <f t="shared" si="2"/>
        <v>1040.8</v>
      </c>
    </row>
    <row r="168" spans="1:15" x14ac:dyDescent="0.35">
      <c r="A168" s="2">
        <v>43059</v>
      </c>
      <c r="B168" s="3" t="s">
        <v>273</v>
      </c>
      <c r="C168" s="3" t="s">
        <v>15</v>
      </c>
      <c r="D168" s="3" t="s">
        <v>16</v>
      </c>
      <c r="E168" s="3" t="s">
        <v>172</v>
      </c>
      <c r="F168" s="3" t="s">
        <v>61</v>
      </c>
      <c r="G168" s="3">
        <v>19.75</v>
      </c>
      <c r="J168" s="3" t="s">
        <v>499</v>
      </c>
      <c r="K168" s="11"/>
      <c r="L168" s="11"/>
      <c r="M168" s="11"/>
      <c r="N168" s="11">
        <v>1473.1</v>
      </c>
      <c r="O168">
        <f t="shared" si="2"/>
        <v>1473.1</v>
      </c>
    </row>
    <row r="169" spans="1:15" x14ac:dyDescent="0.35">
      <c r="A169" s="2">
        <v>43059</v>
      </c>
      <c r="B169" s="3" t="s">
        <v>274</v>
      </c>
      <c r="C169" s="3" t="s">
        <v>10</v>
      </c>
      <c r="D169" s="3" t="s">
        <v>11</v>
      </c>
      <c r="E169" s="3" t="s">
        <v>220</v>
      </c>
      <c r="F169" s="3" t="s">
        <v>221</v>
      </c>
      <c r="G169" s="3">
        <v>325.63200000000001</v>
      </c>
      <c r="J169" s="3" t="s">
        <v>575</v>
      </c>
      <c r="K169" s="11">
        <v>1089.75</v>
      </c>
      <c r="L169" s="11"/>
      <c r="M169" s="11"/>
      <c r="N169" s="11"/>
      <c r="O169">
        <f t="shared" si="2"/>
        <v>1089.75</v>
      </c>
    </row>
    <row r="170" spans="1:15" x14ac:dyDescent="0.35">
      <c r="A170" s="2">
        <v>43059</v>
      </c>
      <c r="B170" s="3" t="s">
        <v>275</v>
      </c>
      <c r="C170" s="3" t="s">
        <v>10</v>
      </c>
      <c r="D170" s="3" t="s">
        <v>16</v>
      </c>
      <c r="E170" s="3" t="s">
        <v>23</v>
      </c>
      <c r="F170" s="3" t="s">
        <v>144</v>
      </c>
      <c r="G170" s="3">
        <v>24.588000000000001</v>
      </c>
      <c r="J170" s="3" t="s">
        <v>465</v>
      </c>
      <c r="K170" s="11"/>
      <c r="L170" s="11"/>
      <c r="M170" s="11"/>
      <c r="N170" s="11">
        <v>40.74</v>
      </c>
      <c r="O170">
        <f t="shared" si="2"/>
        <v>40.74</v>
      </c>
    </row>
    <row r="171" spans="1:15" x14ac:dyDescent="0.35">
      <c r="A171" s="2">
        <v>43060</v>
      </c>
      <c r="B171" s="3" t="s">
        <v>276</v>
      </c>
      <c r="C171" s="3" t="s">
        <v>44</v>
      </c>
      <c r="D171" s="3" t="s">
        <v>16</v>
      </c>
      <c r="E171" s="3" t="s">
        <v>23</v>
      </c>
      <c r="F171" s="3" t="s">
        <v>144</v>
      </c>
      <c r="G171" s="3">
        <v>68.81</v>
      </c>
      <c r="J171" s="3" t="s">
        <v>545</v>
      </c>
      <c r="K171" s="11"/>
      <c r="L171" s="11"/>
      <c r="M171" s="11">
        <v>499.584</v>
      </c>
      <c r="N171" s="11"/>
      <c r="O171">
        <f t="shared" si="2"/>
        <v>499.584</v>
      </c>
    </row>
    <row r="172" spans="1:15" x14ac:dyDescent="0.35">
      <c r="A172" s="2">
        <v>43061</v>
      </c>
      <c r="B172" s="3" t="s">
        <v>277</v>
      </c>
      <c r="C172" s="3" t="s">
        <v>15</v>
      </c>
      <c r="D172" s="3" t="s">
        <v>49</v>
      </c>
      <c r="E172" s="3" t="s">
        <v>117</v>
      </c>
      <c r="F172" s="3" t="s">
        <v>278</v>
      </c>
      <c r="G172" s="3">
        <v>2625.12</v>
      </c>
      <c r="J172" s="3" t="s">
        <v>516</v>
      </c>
      <c r="K172" s="11">
        <v>5.5880000000000001</v>
      </c>
      <c r="L172" s="11"/>
      <c r="M172" s="11"/>
      <c r="N172" s="11"/>
      <c r="O172">
        <f t="shared" si="2"/>
        <v>5.5880000000000001</v>
      </c>
    </row>
    <row r="173" spans="1:15" x14ac:dyDescent="0.35">
      <c r="A173" s="2">
        <v>43066</v>
      </c>
      <c r="B173" s="3" t="s">
        <v>279</v>
      </c>
      <c r="C173" s="3" t="s">
        <v>15</v>
      </c>
      <c r="D173" s="3" t="s">
        <v>11</v>
      </c>
      <c r="E173" s="3" t="s">
        <v>38</v>
      </c>
      <c r="F173" s="3" t="s">
        <v>39</v>
      </c>
      <c r="G173" s="3">
        <v>45.28</v>
      </c>
      <c r="J173" s="3" t="s">
        <v>294</v>
      </c>
      <c r="K173" s="11"/>
      <c r="L173" s="11">
        <v>414.96</v>
      </c>
      <c r="M173" s="11"/>
      <c r="N173" s="11"/>
      <c r="O173">
        <f t="shared" si="2"/>
        <v>414.96</v>
      </c>
    </row>
    <row r="174" spans="1:15" x14ac:dyDescent="0.35">
      <c r="A174" s="2">
        <v>43067</v>
      </c>
      <c r="B174" s="3" t="s">
        <v>280</v>
      </c>
      <c r="C174" s="3" t="s">
        <v>10</v>
      </c>
      <c r="D174" s="3" t="s">
        <v>16</v>
      </c>
      <c r="E174" s="3" t="s">
        <v>17</v>
      </c>
      <c r="F174" s="3" t="s">
        <v>281</v>
      </c>
      <c r="G174" s="3">
        <v>555.21</v>
      </c>
      <c r="J174" s="3" t="s">
        <v>383</v>
      </c>
      <c r="K174" s="11"/>
      <c r="L174" s="11">
        <v>11.67</v>
      </c>
      <c r="M174" s="11"/>
      <c r="N174" s="11"/>
      <c r="O174">
        <f t="shared" si="2"/>
        <v>11.67</v>
      </c>
    </row>
    <row r="175" spans="1:15" x14ac:dyDescent="0.35">
      <c r="A175" s="2">
        <v>43068</v>
      </c>
      <c r="B175" s="3" t="s">
        <v>102</v>
      </c>
      <c r="C175" s="3" t="s">
        <v>15</v>
      </c>
      <c r="D175" s="3" t="s">
        <v>28</v>
      </c>
      <c r="E175" s="3" t="s">
        <v>90</v>
      </c>
      <c r="F175" s="3" t="s">
        <v>282</v>
      </c>
      <c r="G175" s="3">
        <v>98.352000000000004</v>
      </c>
      <c r="J175" s="3" t="s">
        <v>555</v>
      </c>
      <c r="K175" s="11"/>
      <c r="L175" s="11"/>
      <c r="M175" s="11">
        <v>389.05599999999998</v>
      </c>
      <c r="N175" s="11"/>
      <c r="O175">
        <f t="shared" si="2"/>
        <v>389.05599999999998</v>
      </c>
    </row>
    <row r="176" spans="1:15" x14ac:dyDescent="0.35">
      <c r="A176" s="2">
        <v>43074</v>
      </c>
      <c r="B176" s="3" t="s">
        <v>283</v>
      </c>
      <c r="C176" s="3" t="s">
        <v>15</v>
      </c>
      <c r="D176" s="3" t="s">
        <v>11</v>
      </c>
      <c r="E176" s="3" t="s">
        <v>38</v>
      </c>
      <c r="F176" s="3" t="s">
        <v>39</v>
      </c>
      <c r="G176" s="3">
        <v>7.78</v>
      </c>
      <c r="J176" s="3" t="s">
        <v>365</v>
      </c>
      <c r="K176" s="11"/>
      <c r="L176" s="11"/>
      <c r="M176" s="11">
        <v>309.45600000000002</v>
      </c>
      <c r="N176" s="11"/>
      <c r="O176">
        <f t="shared" si="2"/>
        <v>309.45600000000002</v>
      </c>
    </row>
    <row r="177" spans="1:15" x14ac:dyDescent="0.35">
      <c r="A177" s="2">
        <v>43075</v>
      </c>
      <c r="B177" s="3" t="s">
        <v>284</v>
      </c>
      <c r="C177" s="3" t="s">
        <v>15</v>
      </c>
      <c r="D177" s="3" t="s">
        <v>28</v>
      </c>
      <c r="E177" s="3" t="s">
        <v>29</v>
      </c>
      <c r="F177" s="3" t="s">
        <v>186</v>
      </c>
      <c r="G177" s="3">
        <v>152.94</v>
      </c>
      <c r="J177" s="3" t="s">
        <v>217</v>
      </c>
      <c r="K177" s="11">
        <v>20.768000000000001</v>
      </c>
      <c r="L177" s="11"/>
      <c r="M177" s="11">
        <v>180.66</v>
      </c>
      <c r="N177" s="11"/>
      <c r="O177">
        <f t="shared" si="2"/>
        <v>100.714</v>
      </c>
    </row>
    <row r="178" spans="1:15" x14ac:dyDescent="0.35">
      <c r="A178" s="2">
        <v>43078</v>
      </c>
      <c r="B178" s="3" t="s">
        <v>189</v>
      </c>
      <c r="C178" s="3" t="s">
        <v>15</v>
      </c>
      <c r="D178" s="3" t="s">
        <v>16</v>
      </c>
      <c r="E178" s="3" t="s">
        <v>65</v>
      </c>
      <c r="F178" s="3" t="s">
        <v>66</v>
      </c>
      <c r="G178" s="3">
        <v>53.088000000000001</v>
      </c>
      <c r="J178" s="3" t="s">
        <v>252</v>
      </c>
      <c r="K178" s="11"/>
      <c r="L178" s="11"/>
      <c r="M178" s="11">
        <v>28.84</v>
      </c>
      <c r="N178" s="11"/>
      <c r="O178">
        <f t="shared" si="2"/>
        <v>28.84</v>
      </c>
    </row>
    <row r="179" spans="1:15" x14ac:dyDescent="0.35">
      <c r="A179" s="2">
        <v>43081</v>
      </c>
      <c r="B179" s="3" t="s">
        <v>285</v>
      </c>
      <c r="C179" s="3" t="s">
        <v>10</v>
      </c>
      <c r="D179" s="3" t="s">
        <v>11</v>
      </c>
      <c r="E179" s="3" t="s">
        <v>38</v>
      </c>
      <c r="F179" s="3" t="s">
        <v>286</v>
      </c>
      <c r="G179" s="3">
        <v>134.47999999999999</v>
      </c>
      <c r="J179" s="3" t="s">
        <v>431</v>
      </c>
      <c r="K179" s="11"/>
      <c r="L179" s="11"/>
      <c r="M179" s="11">
        <v>214.9</v>
      </c>
      <c r="N179" s="11">
        <v>46.8</v>
      </c>
      <c r="O179">
        <f t="shared" si="2"/>
        <v>130.85</v>
      </c>
    </row>
    <row r="180" spans="1:15" x14ac:dyDescent="0.35">
      <c r="A180" s="2">
        <v>43083</v>
      </c>
      <c r="B180" s="3" t="s">
        <v>287</v>
      </c>
      <c r="C180" s="3" t="s">
        <v>15</v>
      </c>
      <c r="D180" s="3" t="s">
        <v>11</v>
      </c>
      <c r="E180" s="3" t="s">
        <v>20</v>
      </c>
      <c r="F180" s="3" t="s">
        <v>21</v>
      </c>
      <c r="G180" s="3">
        <v>103.92</v>
      </c>
      <c r="J180" s="3" t="s">
        <v>209</v>
      </c>
      <c r="K180" s="11"/>
      <c r="L180" s="11">
        <v>206.43</v>
      </c>
      <c r="M180" s="11"/>
      <c r="N180" s="11"/>
      <c r="O180">
        <f t="shared" si="2"/>
        <v>206.43</v>
      </c>
    </row>
    <row r="181" spans="1:15" x14ac:dyDescent="0.35">
      <c r="A181" s="2">
        <v>43087</v>
      </c>
      <c r="B181" s="3" t="s">
        <v>288</v>
      </c>
      <c r="C181" s="3" t="s">
        <v>15</v>
      </c>
      <c r="D181" s="3" t="s">
        <v>49</v>
      </c>
      <c r="E181" s="3" t="s">
        <v>77</v>
      </c>
      <c r="F181" s="3" t="s">
        <v>78</v>
      </c>
      <c r="G181" s="3">
        <v>434.35199999999998</v>
      </c>
      <c r="J181" s="3" t="s">
        <v>289</v>
      </c>
      <c r="K181" s="11">
        <v>11.648</v>
      </c>
      <c r="L181" s="11"/>
      <c r="M181" s="11">
        <v>36.270000000000003</v>
      </c>
      <c r="N181" s="11"/>
      <c r="O181">
        <f t="shared" si="2"/>
        <v>23.959000000000003</v>
      </c>
    </row>
    <row r="182" spans="1:15" x14ac:dyDescent="0.35">
      <c r="A182" s="2">
        <v>43087</v>
      </c>
      <c r="B182" s="3" t="s">
        <v>288</v>
      </c>
      <c r="C182" s="3" t="s">
        <v>15</v>
      </c>
      <c r="D182" s="3" t="s">
        <v>49</v>
      </c>
      <c r="E182" s="3" t="s">
        <v>77</v>
      </c>
      <c r="F182" s="3" t="s">
        <v>78</v>
      </c>
      <c r="G182" s="3">
        <v>3.552</v>
      </c>
      <c r="J182" s="3" t="s">
        <v>406</v>
      </c>
      <c r="K182" s="11"/>
      <c r="L182" s="11"/>
      <c r="M182" s="11">
        <v>2104.5500000000002</v>
      </c>
      <c r="N182" s="11"/>
      <c r="O182">
        <f t="shared" si="2"/>
        <v>2104.5500000000002</v>
      </c>
    </row>
    <row r="183" spans="1:15" x14ac:dyDescent="0.35">
      <c r="A183" s="2">
        <v>43087</v>
      </c>
      <c r="B183" s="3" t="s">
        <v>288</v>
      </c>
      <c r="C183" s="3" t="s">
        <v>15</v>
      </c>
      <c r="D183" s="3" t="s">
        <v>49</v>
      </c>
      <c r="E183" s="3" t="s">
        <v>77</v>
      </c>
      <c r="F183" s="3" t="s">
        <v>78</v>
      </c>
      <c r="G183" s="3">
        <v>88.831999999999994</v>
      </c>
      <c r="J183" s="3" t="s">
        <v>165</v>
      </c>
      <c r="K183" s="11"/>
      <c r="L183" s="11"/>
      <c r="M183" s="11"/>
      <c r="N183" s="11">
        <v>250.26</v>
      </c>
      <c r="O183">
        <f t="shared" si="2"/>
        <v>250.26</v>
      </c>
    </row>
    <row r="184" spans="1:15" x14ac:dyDescent="0.35">
      <c r="A184" s="2">
        <v>43088</v>
      </c>
      <c r="B184" s="3" t="s">
        <v>289</v>
      </c>
      <c r="C184" s="3" t="s">
        <v>15</v>
      </c>
      <c r="D184" s="3" t="s">
        <v>28</v>
      </c>
      <c r="E184" s="3" t="s">
        <v>253</v>
      </c>
      <c r="F184" s="3" t="s">
        <v>290</v>
      </c>
      <c r="G184" s="3">
        <v>36.270000000000003</v>
      </c>
      <c r="J184" s="3" t="s">
        <v>364</v>
      </c>
      <c r="K184" s="11">
        <v>376.74</v>
      </c>
      <c r="L184" s="11"/>
      <c r="M184" s="11"/>
      <c r="N184" s="11"/>
      <c r="O184">
        <f t="shared" si="2"/>
        <v>376.74</v>
      </c>
    </row>
    <row r="185" spans="1:15" x14ac:dyDescent="0.35">
      <c r="A185" s="2">
        <v>43089</v>
      </c>
      <c r="B185" s="3" t="s">
        <v>291</v>
      </c>
      <c r="C185" s="3" t="s">
        <v>10</v>
      </c>
      <c r="D185" s="3" t="s">
        <v>11</v>
      </c>
      <c r="E185" s="3" t="s">
        <v>81</v>
      </c>
      <c r="F185" s="3" t="s">
        <v>292</v>
      </c>
      <c r="G185" s="3">
        <v>60.984000000000002</v>
      </c>
      <c r="J185" s="3" t="s">
        <v>287</v>
      </c>
      <c r="K185" s="11"/>
      <c r="L185" s="11"/>
      <c r="M185" s="11"/>
      <c r="N185" s="11">
        <v>103.92</v>
      </c>
      <c r="O185">
        <f t="shared" si="2"/>
        <v>103.92</v>
      </c>
    </row>
    <row r="186" spans="1:15" x14ac:dyDescent="0.35">
      <c r="A186" s="2">
        <v>43091</v>
      </c>
      <c r="B186" s="3" t="s">
        <v>293</v>
      </c>
      <c r="C186" s="3" t="s">
        <v>15</v>
      </c>
      <c r="D186" s="3" t="s">
        <v>28</v>
      </c>
      <c r="E186" s="3" t="s">
        <v>253</v>
      </c>
      <c r="F186" s="3" t="s">
        <v>30</v>
      </c>
      <c r="G186" s="3">
        <v>194.32</v>
      </c>
      <c r="J186" s="3" t="s">
        <v>567</v>
      </c>
      <c r="K186" s="11">
        <v>294.62</v>
      </c>
      <c r="L186" s="11"/>
      <c r="M186" s="11"/>
      <c r="N186" s="11"/>
      <c r="O186">
        <f t="shared" si="2"/>
        <v>294.62</v>
      </c>
    </row>
    <row r="187" spans="1:15" x14ac:dyDescent="0.35">
      <c r="A187" s="2">
        <v>43093</v>
      </c>
      <c r="B187" s="3" t="s">
        <v>294</v>
      </c>
      <c r="C187" s="3" t="s">
        <v>44</v>
      </c>
      <c r="D187" s="3" t="s">
        <v>49</v>
      </c>
      <c r="E187" s="3" t="s">
        <v>54</v>
      </c>
      <c r="F187" s="3" t="s">
        <v>63</v>
      </c>
      <c r="G187" s="3">
        <v>414.96</v>
      </c>
      <c r="J187" s="3" t="s">
        <v>189</v>
      </c>
      <c r="K187" s="11">
        <v>53.088000000000001</v>
      </c>
      <c r="L187" s="11"/>
      <c r="M187" s="11">
        <v>962.08</v>
      </c>
      <c r="N187" s="11"/>
      <c r="O187">
        <f t="shared" si="2"/>
        <v>507.584</v>
      </c>
    </row>
    <row r="188" spans="1:15" x14ac:dyDescent="0.35">
      <c r="A188" s="2">
        <v>43095</v>
      </c>
      <c r="B188" s="3" t="s">
        <v>295</v>
      </c>
      <c r="C188" s="3" t="s">
        <v>44</v>
      </c>
      <c r="D188" s="3" t="s">
        <v>49</v>
      </c>
      <c r="E188" s="3" t="s">
        <v>230</v>
      </c>
      <c r="F188" s="3" t="s">
        <v>296</v>
      </c>
      <c r="G188" s="3">
        <v>355.96</v>
      </c>
      <c r="J188" s="3" t="s">
        <v>441</v>
      </c>
      <c r="K188" s="11">
        <v>13.11</v>
      </c>
      <c r="L188" s="11"/>
      <c r="M188" s="11"/>
      <c r="N188" s="11"/>
      <c r="O188">
        <f t="shared" si="2"/>
        <v>13.11</v>
      </c>
    </row>
    <row r="189" spans="1:15" x14ac:dyDescent="0.35">
      <c r="A189" s="2">
        <v>43095</v>
      </c>
      <c r="B189" s="3" t="s">
        <v>297</v>
      </c>
      <c r="C189" s="3" t="s">
        <v>15</v>
      </c>
      <c r="D189" s="3" t="s">
        <v>11</v>
      </c>
      <c r="E189" s="3" t="s">
        <v>38</v>
      </c>
      <c r="F189" s="3" t="s">
        <v>45</v>
      </c>
      <c r="G189" s="3">
        <v>106.96</v>
      </c>
      <c r="J189" s="3" t="s">
        <v>557</v>
      </c>
      <c r="K189" s="11"/>
      <c r="L189" s="11">
        <v>2504.7399999999998</v>
      </c>
      <c r="M189" s="11"/>
      <c r="N189" s="11"/>
      <c r="O189">
        <f t="shared" si="2"/>
        <v>2504.7399999999998</v>
      </c>
    </row>
    <row r="190" spans="1:15" x14ac:dyDescent="0.35">
      <c r="A190" s="2">
        <v>43121</v>
      </c>
      <c r="B190" s="3" t="s">
        <v>298</v>
      </c>
      <c r="C190" s="3" t="s">
        <v>15</v>
      </c>
      <c r="D190" s="3" t="s">
        <v>28</v>
      </c>
      <c r="E190" s="3" t="s">
        <v>90</v>
      </c>
      <c r="F190" s="3" t="s">
        <v>299</v>
      </c>
      <c r="G190" s="3">
        <v>64.864000000000004</v>
      </c>
      <c r="J190" s="3" t="s">
        <v>223</v>
      </c>
      <c r="K190" s="11"/>
      <c r="L190" s="11"/>
      <c r="M190" s="11"/>
      <c r="N190" s="11">
        <v>845.72799999999995</v>
      </c>
      <c r="O190">
        <f t="shared" si="2"/>
        <v>845.72799999999995</v>
      </c>
    </row>
    <row r="191" spans="1:15" x14ac:dyDescent="0.35">
      <c r="A191" s="2">
        <v>43146</v>
      </c>
      <c r="B191" s="3" t="s">
        <v>300</v>
      </c>
      <c r="C191" s="3" t="s">
        <v>10</v>
      </c>
      <c r="D191" s="3" t="s">
        <v>16</v>
      </c>
      <c r="E191" s="3" t="s">
        <v>65</v>
      </c>
      <c r="F191" s="3" t="s">
        <v>66</v>
      </c>
      <c r="G191" s="3">
        <v>92.063999999999993</v>
      </c>
      <c r="J191" s="3" t="s">
        <v>111</v>
      </c>
      <c r="K191" s="11"/>
      <c r="L191" s="11">
        <v>143.82</v>
      </c>
      <c r="M191" s="11"/>
      <c r="N191" s="11">
        <v>1084.3800000000001</v>
      </c>
      <c r="O191">
        <f t="shared" si="2"/>
        <v>614.1</v>
      </c>
    </row>
    <row r="192" spans="1:15" x14ac:dyDescent="0.35">
      <c r="A192" s="2">
        <v>43152</v>
      </c>
      <c r="B192" s="3" t="s">
        <v>301</v>
      </c>
      <c r="C192" s="3" t="s">
        <v>44</v>
      </c>
      <c r="D192" s="3" t="s">
        <v>16</v>
      </c>
      <c r="E192" s="3" t="s">
        <v>151</v>
      </c>
      <c r="F192" s="3" t="s">
        <v>211</v>
      </c>
      <c r="G192" s="3">
        <v>490.32</v>
      </c>
      <c r="J192" s="3" t="s">
        <v>491</v>
      </c>
      <c r="K192" s="11"/>
      <c r="L192" s="11"/>
      <c r="M192" s="11"/>
      <c r="N192" s="11">
        <v>168.1</v>
      </c>
      <c r="O192">
        <f t="shared" si="2"/>
        <v>168.1</v>
      </c>
    </row>
    <row r="193" spans="1:15" x14ac:dyDescent="0.35">
      <c r="A193" s="2">
        <v>43157</v>
      </c>
      <c r="B193" s="3" t="s">
        <v>302</v>
      </c>
      <c r="C193" s="3" t="s">
        <v>15</v>
      </c>
      <c r="D193" s="3" t="s">
        <v>49</v>
      </c>
      <c r="E193" s="3" t="s">
        <v>54</v>
      </c>
      <c r="F193" s="3" t="s">
        <v>63</v>
      </c>
      <c r="G193" s="3">
        <v>170.88</v>
      </c>
      <c r="J193" s="3" t="s">
        <v>463</v>
      </c>
      <c r="K193" s="11"/>
      <c r="L193" s="11">
        <v>41.95</v>
      </c>
      <c r="M193" s="11"/>
      <c r="N193" s="11"/>
      <c r="O193">
        <f t="shared" si="2"/>
        <v>41.95</v>
      </c>
    </row>
    <row r="194" spans="1:15" x14ac:dyDescent="0.35">
      <c r="A194" s="2">
        <v>43164</v>
      </c>
      <c r="B194" s="3" t="s">
        <v>303</v>
      </c>
      <c r="C194" s="3" t="s">
        <v>15</v>
      </c>
      <c r="D194" s="3" t="s">
        <v>16</v>
      </c>
      <c r="E194" s="3" t="s">
        <v>65</v>
      </c>
      <c r="F194" s="3" t="s">
        <v>66</v>
      </c>
      <c r="G194" s="3">
        <v>2.3340000000000001</v>
      </c>
      <c r="J194" s="3" t="s">
        <v>449</v>
      </c>
      <c r="K194" s="11"/>
      <c r="L194" s="11"/>
      <c r="M194" s="11">
        <v>48.783999999999999</v>
      </c>
      <c r="N194" s="11"/>
      <c r="O194">
        <f t="shared" si="2"/>
        <v>48.783999999999999</v>
      </c>
    </row>
    <row r="195" spans="1:15" x14ac:dyDescent="0.35">
      <c r="A195" s="2">
        <v>43166</v>
      </c>
      <c r="B195" s="3" t="s">
        <v>304</v>
      </c>
      <c r="C195" s="3" t="s">
        <v>10</v>
      </c>
      <c r="D195" s="3" t="s">
        <v>16</v>
      </c>
      <c r="E195" s="3" t="s">
        <v>17</v>
      </c>
      <c r="F195" s="3" t="s">
        <v>36</v>
      </c>
      <c r="G195" s="3">
        <v>207.14400000000001</v>
      </c>
      <c r="J195" s="3" t="s">
        <v>80</v>
      </c>
      <c r="K195" s="11"/>
      <c r="L195" s="11"/>
      <c r="M195" s="11"/>
      <c r="N195" s="11">
        <v>32.432000000000002</v>
      </c>
      <c r="O195">
        <f t="shared" si="2"/>
        <v>32.432000000000002</v>
      </c>
    </row>
    <row r="196" spans="1:15" x14ac:dyDescent="0.35">
      <c r="A196" s="2">
        <v>43170</v>
      </c>
      <c r="B196" s="3" t="s">
        <v>305</v>
      </c>
      <c r="C196" s="3" t="s">
        <v>10</v>
      </c>
      <c r="D196" s="3" t="s">
        <v>11</v>
      </c>
      <c r="E196" s="3" t="s">
        <v>38</v>
      </c>
      <c r="F196" s="3" t="s">
        <v>39</v>
      </c>
      <c r="G196" s="3">
        <v>154.9</v>
      </c>
      <c r="J196" s="3" t="s">
        <v>227</v>
      </c>
      <c r="K196" s="11">
        <v>48.631999999999998</v>
      </c>
      <c r="L196" s="11"/>
      <c r="M196" s="11"/>
      <c r="N196" s="11"/>
      <c r="O196">
        <f t="shared" si="2"/>
        <v>48.631999999999998</v>
      </c>
    </row>
    <row r="197" spans="1:15" x14ac:dyDescent="0.35">
      <c r="A197" s="2">
        <v>43171</v>
      </c>
      <c r="B197" s="3" t="s">
        <v>306</v>
      </c>
      <c r="C197" s="3" t="s">
        <v>44</v>
      </c>
      <c r="D197" s="3" t="s">
        <v>11</v>
      </c>
      <c r="E197" s="3" t="s">
        <v>220</v>
      </c>
      <c r="F197" s="3" t="s">
        <v>307</v>
      </c>
      <c r="G197" s="3">
        <v>157.91999999999999</v>
      </c>
      <c r="J197" s="3" t="s">
        <v>524</v>
      </c>
      <c r="K197" s="11"/>
      <c r="L197" s="11"/>
      <c r="M197" s="11">
        <v>80.48</v>
      </c>
      <c r="N197" s="11"/>
      <c r="O197">
        <f t="shared" si="2"/>
        <v>80.48</v>
      </c>
    </row>
    <row r="198" spans="1:15" x14ac:dyDescent="0.35">
      <c r="A198" s="2">
        <v>43171</v>
      </c>
      <c r="B198" s="3" t="s">
        <v>308</v>
      </c>
      <c r="C198" s="3" t="s">
        <v>44</v>
      </c>
      <c r="D198" s="3" t="s">
        <v>28</v>
      </c>
      <c r="E198" s="3" t="s">
        <v>253</v>
      </c>
      <c r="F198" s="3" t="s">
        <v>309</v>
      </c>
      <c r="G198" s="3">
        <v>160.32</v>
      </c>
      <c r="J198" s="3" t="s">
        <v>372</v>
      </c>
      <c r="K198" s="11"/>
      <c r="L198" s="11"/>
      <c r="M198" s="11"/>
      <c r="N198" s="11">
        <v>103.04</v>
      </c>
      <c r="O198">
        <f t="shared" ref="O198:O261" si="3">AVERAGE(K198:N198)</f>
        <v>103.04</v>
      </c>
    </row>
    <row r="199" spans="1:15" x14ac:dyDescent="0.35">
      <c r="A199" s="2">
        <v>43175</v>
      </c>
      <c r="B199" s="3" t="s">
        <v>310</v>
      </c>
      <c r="C199" s="3" t="s">
        <v>15</v>
      </c>
      <c r="D199" s="3" t="s">
        <v>49</v>
      </c>
      <c r="E199" s="3" t="s">
        <v>230</v>
      </c>
      <c r="F199" s="3" t="s">
        <v>168</v>
      </c>
      <c r="G199" s="3">
        <v>901.95</v>
      </c>
      <c r="J199" s="3" t="s">
        <v>135</v>
      </c>
      <c r="K199" s="11"/>
      <c r="L199" s="11"/>
      <c r="M199" s="11">
        <v>69.215999999999994</v>
      </c>
      <c r="N199" s="11"/>
      <c r="O199">
        <f t="shared" si="3"/>
        <v>69.215999999999994</v>
      </c>
    </row>
    <row r="200" spans="1:15" x14ac:dyDescent="0.35">
      <c r="A200" s="2">
        <v>43176</v>
      </c>
      <c r="B200" s="3" t="s">
        <v>311</v>
      </c>
      <c r="C200" s="3" t="s">
        <v>15</v>
      </c>
      <c r="D200" s="3" t="s">
        <v>28</v>
      </c>
      <c r="E200" s="3" t="s">
        <v>136</v>
      </c>
      <c r="F200" s="3" t="s">
        <v>168</v>
      </c>
      <c r="G200" s="3">
        <v>871.8</v>
      </c>
      <c r="J200" s="3" t="s">
        <v>408</v>
      </c>
      <c r="K200" s="11">
        <v>60.34</v>
      </c>
      <c r="L200" s="11"/>
      <c r="M200" s="11"/>
      <c r="N200" s="11"/>
      <c r="O200">
        <f t="shared" si="3"/>
        <v>60.34</v>
      </c>
    </row>
    <row r="201" spans="1:15" x14ac:dyDescent="0.35">
      <c r="A201" s="2">
        <v>43190</v>
      </c>
      <c r="B201" s="3" t="s">
        <v>312</v>
      </c>
      <c r="C201" s="3" t="s">
        <v>10</v>
      </c>
      <c r="D201" s="3" t="s">
        <v>11</v>
      </c>
      <c r="E201" s="3" t="s">
        <v>220</v>
      </c>
      <c r="F201" s="3" t="s">
        <v>313</v>
      </c>
      <c r="G201" s="3">
        <v>30.143999999999998</v>
      </c>
      <c r="J201" s="3" t="s">
        <v>452</v>
      </c>
      <c r="K201" s="11"/>
      <c r="L201" s="11"/>
      <c r="M201" s="11"/>
      <c r="N201" s="11">
        <v>140.66999999999999</v>
      </c>
      <c r="O201">
        <f t="shared" si="3"/>
        <v>140.66999999999999</v>
      </c>
    </row>
    <row r="202" spans="1:15" x14ac:dyDescent="0.35">
      <c r="A202" s="2">
        <v>43199</v>
      </c>
      <c r="B202" s="3" t="s">
        <v>314</v>
      </c>
      <c r="C202" s="3" t="s">
        <v>15</v>
      </c>
      <c r="D202" s="3" t="s">
        <v>11</v>
      </c>
      <c r="E202" s="3" t="s">
        <v>38</v>
      </c>
      <c r="F202" s="3" t="s">
        <v>39</v>
      </c>
      <c r="G202" s="3">
        <v>113.76</v>
      </c>
      <c r="J202" s="3" t="s">
        <v>352</v>
      </c>
      <c r="K202" s="11">
        <v>301.45999999999998</v>
      </c>
      <c r="L202" s="11"/>
      <c r="M202" s="11"/>
      <c r="N202" s="11"/>
      <c r="O202">
        <f t="shared" si="3"/>
        <v>301.45999999999998</v>
      </c>
    </row>
    <row r="203" spans="1:15" x14ac:dyDescent="0.35">
      <c r="A203" s="2">
        <v>43207</v>
      </c>
      <c r="B203" s="3" t="s">
        <v>315</v>
      </c>
      <c r="C203" s="3" t="s">
        <v>15</v>
      </c>
      <c r="D203" s="3" t="s">
        <v>28</v>
      </c>
      <c r="E203" s="3" t="s">
        <v>253</v>
      </c>
      <c r="F203" s="3" t="s">
        <v>263</v>
      </c>
      <c r="G203" s="3">
        <v>203.92</v>
      </c>
      <c r="J203" s="3" t="s">
        <v>581</v>
      </c>
      <c r="K203" s="11"/>
      <c r="L203" s="11"/>
      <c r="M203" s="11"/>
      <c r="N203" s="11">
        <v>54.32</v>
      </c>
      <c r="O203">
        <f t="shared" si="3"/>
        <v>54.32</v>
      </c>
    </row>
    <row r="204" spans="1:15" x14ac:dyDescent="0.35">
      <c r="A204" s="2">
        <v>43210</v>
      </c>
      <c r="B204" s="3" t="s">
        <v>316</v>
      </c>
      <c r="C204" s="3" t="s">
        <v>10</v>
      </c>
      <c r="D204" s="3" t="s">
        <v>16</v>
      </c>
      <c r="E204" s="3" t="s">
        <v>65</v>
      </c>
      <c r="F204" s="3" t="s">
        <v>66</v>
      </c>
      <c r="G204" s="3">
        <v>48.792000000000002</v>
      </c>
      <c r="J204" s="3" t="s">
        <v>479</v>
      </c>
      <c r="K204" s="11"/>
      <c r="L204" s="11"/>
      <c r="M204" s="11">
        <v>208.44</v>
      </c>
      <c r="N204" s="11"/>
      <c r="O204">
        <f t="shared" si="3"/>
        <v>208.44</v>
      </c>
    </row>
    <row r="205" spans="1:15" x14ac:dyDescent="0.35">
      <c r="A205" s="2">
        <v>43211</v>
      </c>
      <c r="B205" s="3" t="s">
        <v>317</v>
      </c>
      <c r="C205" s="3" t="s">
        <v>44</v>
      </c>
      <c r="D205" s="3" t="s">
        <v>11</v>
      </c>
      <c r="E205" s="3" t="s">
        <v>220</v>
      </c>
      <c r="F205" s="3" t="s">
        <v>221</v>
      </c>
      <c r="G205" s="3">
        <v>78.272000000000006</v>
      </c>
      <c r="J205" s="3" t="s">
        <v>259</v>
      </c>
      <c r="K205" s="11"/>
      <c r="L205" s="11"/>
      <c r="M205" s="11"/>
      <c r="N205" s="11">
        <v>203.88</v>
      </c>
      <c r="O205">
        <f t="shared" si="3"/>
        <v>203.88</v>
      </c>
    </row>
    <row r="206" spans="1:15" x14ac:dyDescent="0.35">
      <c r="A206" s="2">
        <v>43222</v>
      </c>
      <c r="B206" s="3" t="s">
        <v>318</v>
      </c>
      <c r="C206" s="3" t="s">
        <v>15</v>
      </c>
      <c r="D206" s="3" t="s">
        <v>16</v>
      </c>
      <c r="E206" s="3" t="s">
        <v>65</v>
      </c>
      <c r="F206" s="3" t="s">
        <v>66</v>
      </c>
      <c r="G206" s="3">
        <v>26.405999999999999</v>
      </c>
      <c r="J206" s="3" t="s">
        <v>256</v>
      </c>
      <c r="K206" s="11">
        <v>73.164000000000001</v>
      </c>
      <c r="L206" s="11"/>
      <c r="M206" s="11"/>
      <c r="N206" s="11"/>
      <c r="O206">
        <f t="shared" si="3"/>
        <v>73.164000000000001</v>
      </c>
    </row>
    <row r="207" spans="1:15" x14ac:dyDescent="0.35">
      <c r="A207" s="2">
        <v>43225</v>
      </c>
      <c r="B207" s="3" t="s">
        <v>319</v>
      </c>
      <c r="C207" s="3" t="s">
        <v>44</v>
      </c>
      <c r="D207" s="3" t="s">
        <v>16</v>
      </c>
      <c r="E207" s="3" t="s">
        <v>320</v>
      </c>
      <c r="F207" s="3" t="s">
        <v>13</v>
      </c>
      <c r="G207" s="3">
        <v>54.48</v>
      </c>
      <c r="J207" s="3" t="s">
        <v>569</v>
      </c>
      <c r="K207" s="11"/>
      <c r="L207" s="11">
        <v>286.86</v>
      </c>
      <c r="M207" s="11"/>
      <c r="N207" s="11"/>
      <c r="O207">
        <f t="shared" si="3"/>
        <v>286.86</v>
      </c>
    </row>
    <row r="208" spans="1:15" x14ac:dyDescent="0.35">
      <c r="A208" s="2">
        <v>43228</v>
      </c>
      <c r="B208" s="3" t="s">
        <v>321</v>
      </c>
      <c r="C208" s="3" t="s">
        <v>10</v>
      </c>
      <c r="D208" s="3" t="s">
        <v>16</v>
      </c>
      <c r="E208" s="3" t="s">
        <v>23</v>
      </c>
      <c r="F208" s="3" t="s">
        <v>322</v>
      </c>
      <c r="G208" s="3">
        <v>48.783999999999999</v>
      </c>
      <c r="J208" s="3" t="s">
        <v>388</v>
      </c>
      <c r="K208" s="11"/>
      <c r="L208" s="11"/>
      <c r="M208" s="11">
        <v>671.54399999999998</v>
      </c>
      <c r="N208" s="11"/>
      <c r="O208">
        <f t="shared" si="3"/>
        <v>671.54399999999998</v>
      </c>
    </row>
    <row r="209" spans="1:15" x14ac:dyDescent="0.35">
      <c r="A209" s="2">
        <v>43231</v>
      </c>
      <c r="B209" s="3" t="s">
        <v>323</v>
      </c>
      <c r="C209" s="3" t="s">
        <v>15</v>
      </c>
      <c r="D209" s="3" t="s">
        <v>11</v>
      </c>
      <c r="E209" s="3" t="s">
        <v>38</v>
      </c>
      <c r="F209" s="3" t="s">
        <v>324</v>
      </c>
      <c r="G209" s="3">
        <v>8.67</v>
      </c>
      <c r="J209" s="3" t="s">
        <v>67</v>
      </c>
      <c r="K209" s="11"/>
      <c r="L209" s="11">
        <v>235.95</v>
      </c>
      <c r="M209" s="11"/>
      <c r="N209" s="11">
        <v>320.88</v>
      </c>
      <c r="O209">
        <f t="shared" si="3"/>
        <v>278.41499999999996</v>
      </c>
    </row>
    <row r="210" spans="1:15" x14ac:dyDescent="0.35">
      <c r="A210" s="2">
        <v>43238</v>
      </c>
      <c r="B210" s="3" t="s">
        <v>31</v>
      </c>
      <c r="C210" s="3" t="s">
        <v>15</v>
      </c>
      <c r="D210" s="3" t="s">
        <v>49</v>
      </c>
      <c r="E210" s="3" t="s">
        <v>54</v>
      </c>
      <c r="F210" s="3" t="s">
        <v>63</v>
      </c>
      <c r="G210" s="3">
        <v>242.9</v>
      </c>
      <c r="J210" s="3" t="s">
        <v>303</v>
      </c>
      <c r="K210" s="11">
        <v>75.510000000000005</v>
      </c>
      <c r="L210" s="11"/>
      <c r="M210" s="11"/>
      <c r="N210" s="11"/>
      <c r="O210">
        <f t="shared" si="3"/>
        <v>75.510000000000005</v>
      </c>
    </row>
    <row r="211" spans="1:15" x14ac:dyDescent="0.35">
      <c r="A211" s="2">
        <v>43238</v>
      </c>
      <c r="B211" s="3" t="s">
        <v>325</v>
      </c>
      <c r="C211" s="3" t="s">
        <v>10</v>
      </c>
      <c r="D211" s="3" t="s">
        <v>11</v>
      </c>
      <c r="E211" s="3" t="s">
        <v>38</v>
      </c>
      <c r="F211" s="3" t="s">
        <v>45</v>
      </c>
      <c r="G211" s="3">
        <v>87.84</v>
      </c>
      <c r="J211" s="3" t="s">
        <v>102</v>
      </c>
      <c r="K211" s="11"/>
      <c r="L211" s="11"/>
      <c r="M211" s="11">
        <v>98.352000000000004</v>
      </c>
      <c r="N211" s="11">
        <v>76.12</v>
      </c>
      <c r="O211">
        <f t="shared" si="3"/>
        <v>87.236000000000004</v>
      </c>
    </row>
    <row r="212" spans="1:15" x14ac:dyDescent="0.35">
      <c r="A212" s="2">
        <v>43241</v>
      </c>
      <c r="B212" s="3" t="s">
        <v>283</v>
      </c>
      <c r="C212" s="3" t="s">
        <v>15</v>
      </c>
      <c r="D212" s="3" t="s">
        <v>49</v>
      </c>
      <c r="E212" s="3" t="s">
        <v>117</v>
      </c>
      <c r="F212" s="3" t="s">
        <v>326</v>
      </c>
      <c r="G212" s="3">
        <v>662.84</v>
      </c>
      <c r="J212" s="3" t="s">
        <v>187</v>
      </c>
      <c r="K212" s="11"/>
      <c r="L212" s="11">
        <v>26.88</v>
      </c>
      <c r="M212" s="11"/>
      <c r="N212" s="11"/>
      <c r="O212">
        <f t="shared" si="3"/>
        <v>26.88</v>
      </c>
    </row>
    <row r="213" spans="1:15" x14ac:dyDescent="0.35">
      <c r="A213" s="2">
        <v>43245</v>
      </c>
      <c r="B213" s="3" t="s">
        <v>173</v>
      </c>
      <c r="C213" s="3" t="s">
        <v>10</v>
      </c>
      <c r="D213" s="3" t="s">
        <v>49</v>
      </c>
      <c r="E213" s="3" t="s">
        <v>77</v>
      </c>
      <c r="F213" s="3" t="s">
        <v>78</v>
      </c>
      <c r="G213" s="3">
        <v>34.847999999999999</v>
      </c>
      <c r="J213" s="3" t="s">
        <v>378</v>
      </c>
      <c r="K213" s="11">
        <v>93.031999999999996</v>
      </c>
      <c r="L213" s="11"/>
      <c r="M213" s="11"/>
      <c r="N213" s="11"/>
      <c r="O213">
        <f t="shared" si="3"/>
        <v>93.031999999999996</v>
      </c>
    </row>
    <row r="214" spans="1:15" x14ac:dyDescent="0.35">
      <c r="A214" s="2">
        <v>43247</v>
      </c>
      <c r="B214" s="3" t="s">
        <v>327</v>
      </c>
      <c r="C214" s="3" t="s">
        <v>15</v>
      </c>
      <c r="D214" s="3" t="s">
        <v>11</v>
      </c>
      <c r="E214" s="3" t="s">
        <v>38</v>
      </c>
      <c r="F214" s="3" t="s">
        <v>45</v>
      </c>
      <c r="G214" s="3">
        <v>262.24</v>
      </c>
      <c r="J214" s="3" t="s">
        <v>445</v>
      </c>
      <c r="K214" s="11"/>
      <c r="L214" s="11"/>
      <c r="M214" s="11">
        <v>72.8</v>
      </c>
      <c r="N214" s="11"/>
      <c r="O214">
        <f t="shared" si="3"/>
        <v>72.8</v>
      </c>
    </row>
    <row r="215" spans="1:15" x14ac:dyDescent="0.35">
      <c r="A215" s="2">
        <v>43249</v>
      </c>
      <c r="B215" s="3" t="s">
        <v>111</v>
      </c>
      <c r="C215" s="3" t="s">
        <v>15</v>
      </c>
      <c r="D215" s="3" t="s">
        <v>49</v>
      </c>
      <c r="E215" s="3" t="s">
        <v>50</v>
      </c>
      <c r="F215" s="3" t="s">
        <v>328</v>
      </c>
      <c r="G215" s="3">
        <v>123.92</v>
      </c>
      <c r="J215" s="3" t="s">
        <v>582</v>
      </c>
      <c r="K215" s="11">
        <v>66.284000000000006</v>
      </c>
      <c r="L215" s="11"/>
      <c r="M215" s="11"/>
      <c r="N215" s="11"/>
      <c r="O215">
        <f t="shared" si="3"/>
        <v>66.284000000000006</v>
      </c>
    </row>
    <row r="216" spans="1:15" x14ac:dyDescent="0.35">
      <c r="A216" s="2">
        <v>43249</v>
      </c>
      <c r="B216" s="3" t="s">
        <v>329</v>
      </c>
      <c r="C216" s="3" t="s">
        <v>44</v>
      </c>
      <c r="D216" s="3" t="s">
        <v>16</v>
      </c>
      <c r="E216" s="3" t="s">
        <v>151</v>
      </c>
      <c r="F216" s="3" t="s">
        <v>330</v>
      </c>
      <c r="G216" s="3">
        <v>364.74</v>
      </c>
      <c r="J216" s="3" t="s">
        <v>410</v>
      </c>
      <c r="K216" s="11">
        <v>61.929000000000002</v>
      </c>
      <c r="L216" s="11"/>
      <c r="M216" s="11"/>
      <c r="N216" s="11"/>
      <c r="O216">
        <f t="shared" si="3"/>
        <v>61.929000000000002</v>
      </c>
    </row>
    <row r="217" spans="1:15" x14ac:dyDescent="0.35">
      <c r="A217" s="2">
        <v>43255</v>
      </c>
      <c r="B217" s="3" t="s">
        <v>331</v>
      </c>
      <c r="C217" s="3" t="s">
        <v>15</v>
      </c>
      <c r="D217" s="3" t="s">
        <v>11</v>
      </c>
      <c r="E217" s="3" t="s">
        <v>38</v>
      </c>
      <c r="F217" s="3" t="s">
        <v>332</v>
      </c>
      <c r="G217" s="3">
        <v>58.24</v>
      </c>
      <c r="J217" s="3" t="s">
        <v>87</v>
      </c>
      <c r="K217" s="11">
        <v>4.8360000000000003</v>
      </c>
      <c r="L217" s="11"/>
      <c r="M217" s="11"/>
      <c r="N217" s="11"/>
      <c r="O217">
        <f t="shared" si="3"/>
        <v>4.8360000000000003</v>
      </c>
    </row>
    <row r="218" spans="1:15" x14ac:dyDescent="0.35">
      <c r="A218" s="2">
        <v>43262</v>
      </c>
      <c r="B218" s="3" t="s">
        <v>333</v>
      </c>
      <c r="C218" s="3" t="s">
        <v>10</v>
      </c>
      <c r="D218" s="3" t="s">
        <v>28</v>
      </c>
      <c r="E218" s="3" t="s">
        <v>334</v>
      </c>
      <c r="F218" s="3" t="s">
        <v>335</v>
      </c>
      <c r="G218" s="3">
        <v>208.16</v>
      </c>
      <c r="J218" s="3" t="s">
        <v>161</v>
      </c>
      <c r="K218" s="11">
        <v>155.88</v>
      </c>
      <c r="L218" s="11"/>
      <c r="M218" s="11"/>
      <c r="N218" s="11">
        <v>40.54</v>
      </c>
      <c r="O218">
        <f t="shared" si="3"/>
        <v>98.21</v>
      </c>
    </row>
    <row r="219" spans="1:15" x14ac:dyDescent="0.35">
      <c r="A219" s="2">
        <v>43262</v>
      </c>
      <c r="B219" s="3" t="s">
        <v>318</v>
      </c>
      <c r="C219" s="3" t="s">
        <v>15</v>
      </c>
      <c r="D219" s="3" t="s">
        <v>49</v>
      </c>
      <c r="E219" s="3" t="s">
        <v>54</v>
      </c>
      <c r="F219" s="3" t="s">
        <v>115</v>
      </c>
      <c r="G219" s="3">
        <v>52.56</v>
      </c>
      <c r="J219" s="3" t="s">
        <v>551</v>
      </c>
      <c r="K219" s="11"/>
      <c r="L219" s="11"/>
      <c r="M219" s="11"/>
      <c r="N219" s="11">
        <v>76.12</v>
      </c>
      <c r="O219">
        <f t="shared" si="3"/>
        <v>76.12</v>
      </c>
    </row>
    <row r="220" spans="1:15" x14ac:dyDescent="0.35">
      <c r="A220" s="2">
        <v>43262</v>
      </c>
      <c r="B220" s="3" t="s">
        <v>336</v>
      </c>
      <c r="C220" s="3" t="s">
        <v>44</v>
      </c>
      <c r="D220" s="3" t="s">
        <v>16</v>
      </c>
      <c r="E220" s="3" t="s">
        <v>23</v>
      </c>
      <c r="F220" s="3" t="s">
        <v>26</v>
      </c>
      <c r="G220" s="3">
        <v>64.384</v>
      </c>
      <c r="J220" s="3" t="s">
        <v>553</v>
      </c>
      <c r="K220" s="11">
        <v>9.3239999999999998</v>
      </c>
      <c r="L220" s="11"/>
      <c r="M220" s="11"/>
      <c r="N220" s="11"/>
      <c r="O220">
        <f t="shared" si="3"/>
        <v>9.3239999999999998</v>
      </c>
    </row>
    <row r="221" spans="1:15" x14ac:dyDescent="0.35">
      <c r="A221" s="2">
        <v>43268</v>
      </c>
      <c r="B221" s="3" t="s">
        <v>333</v>
      </c>
      <c r="C221" s="3" t="s">
        <v>10</v>
      </c>
      <c r="D221" s="3" t="s">
        <v>49</v>
      </c>
      <c r="E221" s="3" t="s">
        <v>77</v>
      </c>
      <c r="F221" s="3" t="s">
        <v>78</v>
      </c>
      <c r="G221" s="3">
        <v>453.6</v>
      </c>
      <c r="J221" s="3" t="s">
        <v>150</v>
      </c>
      <c r="K221" s="11">
        <v>426.86</v>
      </c>
      <c r="L221" s="11"/>
      <c r="M221" s="11"/>
      <c r="N221" s="11">
        <v>64.959999999999994</v>
      </c>
      <c r="O221">
        <f t="shared" si="3"/>
        <v>245.91</v>
      </c>
    </row>
    <row r="222" spans="1:15" x14ac:dyDescent="0.35">
      <c r="A222" s="2">
        <v>43270</v>
      </c>
      <c r="B222" s="3" t="s">
        <v>337</v>
      </c>
      <c r="C222" s="3" t="s">
        <v>44</v>
      </c>
      <c r="D222" s="3" t="s">
        <v>49</v>
      </c>
      <c r="E222" s="3" t="s">
        <v>77</v>
      </c>
      <c r="F222" s="3" t="s">
        <v>78</v>
      </c>
      <c r="G222" s="3">
        <v>447.69600000000003</v>
      </c>
      <c r="J222" s="3" t="s">
        <v>19</v>
      </c>
      <c r="K222" s="11"/>
      <c r="L222" s="11">
        <v>101.96</v>
      </c>
      <c r="M222" s="11"/>
      <c r="N222" s="11">
        <v>81.96</v>
      </c>
      <c r="O222">
        <f t="shared" si="3"/>
        <v>91.96</v>
      </c>
    </row>
    <row r="223" spans="1:15" x14ac:dyDescent="0.35">
      <c r="A223" s="2">
        <v>43270</v>
      </c>
      <c r="B223" s="3" t="s">
        <v>338</v>
      </c>
      <c r="C223" s="3" t="s">
        <v>15</v>
      </c>
      <c r="D223" s="3" t="s">
        <v>11</v>
      </c>
      <c r="E223" s="3" t="s">
        <v>38</v>
      </c>
      <c r="F223" s="3" t="s">
        <v>339</v>
      </c>
      <c r="G223" s="3">
        <v>21.78</v>
      </c>
      <c r="J223" s="3" t="s">
        <v>483</v>
      </c>
      <c r="K223" s="11">
        <v>465.16</v>
      </c>
      <c r="L223" s="11"/>
      <c r="M223" s="11"/>
      <c r="N223" s="11"/>
      <c r="O223">
        <f t="shared" si="3"/>
        <v>465.16</v>
      </c>
    </row>
    <row r="224" spans="1:15" x14ac:dyDescent="0.35">
      <c r="A224" s="2">
        <v>43274</v>
      </c>
      <c r="B224" s="3" t="s">
        <v>340</v>
      </c>
      <c r="C224" s="3" t="s">
        <v>10</v>
      </c>
      <c r="D224" s="3" t="s">
        <v>16</v>
      </c>
      <c r="E224" s="3" t="s">
        <v>23</v>
      </c>
      <c r="F224" s="3" t="s">
        <v>26</v>
      </c>
      <c r="G224" s="3">
        <v>8.7119999999999997</v>
      </c>
      <c r="J224" s="3" t="s">
        <v>34</v>
      </c>
      <c r="K224" s="11"/>
      <c r="L224" s="11"/>
      <c r="M224" s="11">
        <v>32.67</v>
      </c>
      <c r="N224" s="11"/>
      <c r="O224">
        <f t="shared" si="3"/>
        <v>32.67</v>
      </c>
    </row>
    <row r="225" spans="1:15" x14ac:dyDescent="0.35">
      <c r="A225" s="2">
        <v>43274</v>
      </c>
      <c r="B225" s="3" t="s">
        <v>341</v>
      </c>
      <c r="C225" s="3" t="s">
        <v>15</v>
      </c>
      <c r="D225" s="3" t="s">
        <v>11</v>
      </c>
      <c r="E225" s="3" t="s">
        <v>38</v>
      </c>
      <c r="F225" s="3" t="s">
        <v>103</v>
      </c>
      <c r="G225" s="3">
        <v>241.44</v>
      </c>
      <c r="J225" s="3" t="s">
        <v>437</v>
      </c>
      <c r="K225" s="11">
        <v>90.64</v>
      </c>
      <c r="L225" s="11"/>
      <c r="M225" s="11"/>
      <c r="N225" s="11"/>
      <c r="O225">
        <f t="shared" si="3"/>
        <v>90.64</v>
      </c>
    </row>
    <row r="226" spans="1:15" x14ac:dyDescent="0.35">
      <c r="A226" s="2">
        <v>43275</v>
      </c>
      <c r="B226" s="3" t="s">
        <v>342</v>
      </c>
      <c r="C226" s="3" t="s">
        <v>15</v>
      </c>
      <c r="D226" s="3" t="s">
        <v>11</v>
      </c>
      <c r="E226" s="3" t="s">
        <v>38</v>
      </c>
      <c r="F226" s="3" t="s">
        <v>45</v>
      </c>
      <c r="G226" s="3">
        <v>60.81</v>
      </c>
      <c r="J226" s="3" t="s">
        <v>153</v>
      </c>
      <c r="K226" s="11"/>
      <c r="L226" s="11"/>
      <c r="M226" s="11"/>
      <c r="N226" s="11">
        <v>22.98</v>
      </c>
      <c r="O226">
        <f t="shared" si="3"/>
        <v>22.98</v>
      </c>
    </row>
    <row r="227" spans="1:15" x14ac:dyDescent="0.35">
      <c r="A227" s="2">
        <v>43278</v>
      </c>
      <c r="B227" s="3" t="s">
        <v>343</v>
      </c>
      <c r="C227" s="3" t="s">
        <v>15</v>
      </c>
      <c r="D227" s="3" t="s">
        <v>49</v>
      </c>
      <c r="E227" s="3" t="s">
        <v>117</v>
      </c>
      <c r="F227" s="3" t="s">
        <v>244</v>
      </c>
      <c r="G227" s="3">
        <v>8.74</v>
      </c>
      <c r="J227" s="3" t="s">
        <v>104</v>
      </c>
      <c r="K227" s="11">
        <v>167.535</v>
      </c>
      <c r="L227" s="11"/>
      <c r="M227" s="11"/>
      <c r="N227" s="11">
        <v>7.78</v>
      </c>
      <c r="O227">
        <f t="shared" si="3"/>
        <v>87.657499999999999</v>
      </c>
    </row>
    <row r="228" spans="1:15" x14ac:dyDescent="0.35">
      <c r="A228" s="2">
        <v>43278</v>
      </c>
      <c r="B228" s="3" t="s">
        <v>343</v>
      </c>
      <c r="C228" s="3" t="s">
        <v>15</v>
      </c>
      <c r="D228" s="3" t="s">
        <v>49</v>
      </c>
      <c r="E228" s="3" t="s">
        <v>117</v>
      </c>
      <c r="F228" s="3" t="s">
        <v>244</v>
      </c>
      <c r="G228" s="3">
        <v>275.24</v>
      </c>
      <c r="J228" s="3" t="s">
        <v>164</v>
      </c>
      <c r="K228" s="11">
        <v>2.3940000000000001</v>
      </c>
      <c r="L228" s="11"/>
      <c r="M228" s="11">
        <v>45.216000000000001</v>
      </c>
      <c r="N228" s="11"/>
      <c r="O228">
        <f t="shared" si="3"/>
        <v>23.805</v>
      </c>
    </row>
    <row r="229" spans="1:15" x14ac:dyDescent="0.35">
      <c r="A229" s="2">
        <v>43283</v>
      </c>
      <c r="B229" s="3" t="s">
        <v>305</v>
      </c>
      <c r="C229" s="3" t="s">
        <v>10</v>
      </c>
      <c r="D229" s="3" t="s">
        <v>49</v>
      </c>
      <c r="E229" s="3" t="s">
        <v>54</v>
      </c>
      <c r="F229" s="3" t="s">
        <v>63</v>
      </c>
      <c r="G229" s="3">
        <v>706.86</v>
      </c>
      <c r="J229" s="3" t="s">
        <v>345</v>
      </c>
      <c r="K229" s="11"/>
      <c r="L229" s="11">
        <v>162.63999999999999</v>
      </c>
      <c r="M229" s="11"/>
      <c r="N229" s="11"/>
      <c r="O229">
        <f t="shared" si="3"/>
        <v>162.63999999999999</v>
      </c>
    </row>
    <row r="230" spans="1:15" x14ac:dyDescent="0.35">
      <c r="A230" s="2">
        <v>43294</v>
      </c>
      <c r="B230" s="3" t="s">
        <v>344</v>
      </c>
      <c r="C230" s="3" t="s">
        <v>15</v>
      </c>
      <c r="D230" s="3" t="s">
        <v>11</v>
      </c>
      <c r="E230" s="3" t="s">
        <v>38</v>
      </c>
      <c r="F230" s="3" t="s">
        <v>39</v>
      </c>
      <c r="G230" s="3">
        <v>151.62</v>
      </c>
      <c r="J230" s="3" t="s">
        <v>398</v>
      </c>
      <c r="K230" s="11"/>
      <c r="L230" s="11"/>
      <c r="M230" s="11"/>
      <c r="N230" s="11">
        <v>39</v>
      </c>
      <c r="O230">
        <f t="shared" si="3"/>
        <v>39</v>
      </c>
    </row>
    <row r="231" spans="1:15" x14ac:dyDescent="0.35">
      <c r="A231" s="2">
        <v>43297</v>
      </c>
      <c r="B231" s="3" t="s">
        <v>345</v>
      </c>
      <c r="C231" s="3" t="s">
        <v>10</v>
      </c>
      <c r="D231" s="3" t="s">
        <v>49</v>
      </c>
      <c r="E231" s="3" t="s">
        <v>117</v>
      </c>
      <c r="F231" s="3" t="s">
        <v>346</v>
      </c>
      <c r="G231" s="3">
        <v>162.63999999999999</v>
      </c>
      <c r="J231" s="3" t="s">
        <v>514</v>
      </c>
      <c r="K231" s="11">
        <v>91.6</v>
      </c>
      <c r="L231" s="11"/>
      <c r="M231" s="11"/>
      <c r="N231" s="11"/>
      <c r="O231">
        <f t="shared" si="3"/>
        <v>91.6</v>
      </c>
    </row>
    <row r="232" spans="1:15" x14ac:dyDescent="0.35">
      <c r="A232" s="2">
        <v>43297</v>
      </c>
      <c r="B232" s="3" t="s">
        <v>277</v>
      </c>
      <c r="C232" s="3" t="s">
        <v>15</v>
      </c>
      <c r="D232" s="3" t="s">
        <v>49</v>
      </c>
      <c r="E232" s="3" t="s">
        <v>54</v>
      </c>
      <c r="F232" s="3" t="s">
        <v>63</v>
      </c>
      <c r="G232" s="3">
        <v>45.96</v>
      </c>
      <c r="J232" s="3" t="s">
        <v>347</v>
      </c>
      <c r="K232" s="11"/>
      <c r="L232" s="11">
        <v>37.68</v>
      </c>
      <c r="M232" s="11"/>
      <c r="N232" s="11"/>
      <c r="O232">
        <f t="shared" si="3"/>
        <v>37.68</v>
      </c>
    </row>
    <row r="233" spans="1:15" x14ac:dyDescent="0.35">
      <c r="A233" s="2">
        <v>43302</v>
      </c>
      <c r="B233" s="3" t="s">
        <v>347</v>
      </c>
      <c r="C233" s="3" t="s">
        <v>10</v>
      </c>
      <c r="D233" s="3" t="s">
        <v>49</v>
      </c>
      <c r="E233" s="3" t="s">
        <v>230</v>
      </c>
      <c r="F233" s="3" t="s">
        <v>168</v>
      </c>
      <c r="G233" s="3">
        <v>37.68</v>
      </c>
      <c r="J233" s="3" t="s">
        <v>176</v>
      </c>
      <c r="K233" s="11">
        <v>143.12799999999999</v>
      </c>
      <c r="L233" s="11">
        <v>116.208</v>
      </c>
      <c r="M233" s="11"/>
      <c r="N233" s="11"/>
      <c r="O233">
        <f t="shared" si="3"/>
        <v>129.66800000000001</v>
      </c>
    </row>
    <row r="234" spans="1:15" x14ac:dyDescent="0.35">
      <c r="A234" s="2">
        <v>43303</v>
      </c>
      <c r="B234" s="3" t="s">
        <v>122</v>
      </c>
      <c r="C234" s="3" t="s">
        <v>10</v>
      </c>
      <c r="D234" s="3" t="s">
        <v>28</v>
      </c>
      <c r="E234" s="3" t="s">
        <v>107</v>
      </c>
      <c r="F234" s="3" t="s">
        <v>124</v>
      </c>
      <c r="G234" s="3">
        <v>23.696000000000002</v>
      </c>
      <c r="J234" s="3" t="s">
        <v>359</v>
      </c>
      <c r="K234" s="11">
        <v>21.391999999999999</v>
      </c>
      <c r="L234" s="11"/>
      <c r="M234" s="11"/>
      <c r="N234" s="11">
        <v>122.328</v>
      </c>
      <c r="O234">
        <f t="shared" si="3"/>
        <v>71.86</v>
      </c>
    </row>
    <row r="235" spans="1:15" x14ac:dyDescent="0.35">
      <c r="A235" s="2">
        <v>43305</v>
      </c>
      <c r="B235" s="3" t="s">
        <v>348</v>
      </c>
      <c r="C235" s="3" t="s">
        <v>10</v>
      </c>
      <c r="D235" s="3" t="s">
        <v>49</v>
      </c>
      <c r="E235" s="3" t="s">
        <v>50</v>
      </c>
      <c r="F235" s="3" t="s">
        <v>205</v>
      </c>
      <c r="G235" s="3">
        <v>243.88</v>
      </c>
      <c r="J235" s="3" t="s">
        <v>341</v>
      </c>
      <c r="K235" s="11"/>
      <c r="L235" s="11"/>
      <c r="M235" s="11"/>
      <c r="N235" s="11">
        <v>241.44</v>
      </c>
      <c r="O235">
        <f t="shared" si="3"/>
        <v>241.44</v>
      </c>
    </row>
    <row r="236" spans="1:15" x14ac:dyDescent="0.35">
      <c r="A236" s="2">
        <v>43308</v>
      </c>
      <c r="B236" s="3" t="s">
        <v>349</v>
      </c>
      <c r="C236" s="3" t="s">
        <v>15</v>
      </c>
      <c r="D236" s="3" t="s">
        <v>49</v>
      </c>
      <c r="E236" s="3" t="s">
        <v>77</v>
      </c>
      <c r="F236" s="3" t="s">
        <v>350</v>
      </c>
      <c r="G236" s="3">
        <v>9.48</v>
      </c>
      <c r="J236" s="3" t="s">
        <v>565</v>
      </c>
      <c r="K236" s="11"/>
      <c r="L236" s="11">
        <v>663.93600000000004</v>
      </c>
      <c r="M236" s="11"/>
      <c r="N236" s="11"/>
      <c r="O236">
        <f t="shared" si="3"/>
        <v>663.93600000000004</v>
      </c>
    </row>
    <row r="237" spans="1:15" x14ac:dyDescent="0.35">
      <c r="A237" s="2">
        <v>43310</v>
      </c>
      <c r="B237" s="3" t="s">
        <v>351</v>
      </c>
      <c r="C237" s="3" t="s">
        <v>10</v>
      </c>
      <c r="D237" s="3" t="s">
        <v>11</v>
      </c>
      <c r="E237" s="3" t="s">
        <v>38</v>
      </c>
      <c r="F237" s="3" t="s">
        <v>39</v>
      </c>
      <c r="G237" s="3">
        <v>715.64</v>
      </c>
      <c r="J237" s="3" t="s">
        <v>362</v>
      </c>
      <c r="K237" s="11"/>
      <c r="L237" s="11"/>
      <c r="M237" s="11"/>
      <c r="N237" s="11">
        <v>43.1</v>
      </c>
      <c r="O237">
        <f t="shared" si="3"/>
        <v>43.1</v>
      </c>
    </row>
    <row r="238" spans="1:15" x14ac:dyDescent="0.35">
      <c r="A238" s="2">
        <v>43311</v>
      </c>
      <c r="B238" s="3" t="s">
        <v>352</v>
      </c>
      <c r="C238" s="3" t="s">
        <v>15</v>
      </c>
      <c r="D238" s="3" t="s">
        <v>16</v>
      </c>
      <c r="E238" s="3" t="s">
        <v>17</v>
      </c>
      <c r="F238" s="3" t="s">
        <v>70</v>
      </c>
      <c r="G238" s="3">
        <v>283.14</v>
      </c>
      <c r="J238" s="3" t="s">
        <v>547</v>
      </c>
      <c r="K238" s="11"/>
      <c r="L238" s="11"/>
      <c r="M238" s="11"/>
      <c r="N238" s="11">
        <v>400.8</v>
      </c>
      <c r="O238">
        <f t="shared" si="3"/>
        <v>400.8</v>
      </c>
    </row>
    <row r="239" spans="1:15" x14ac:dyDescent="0.35">
      <c r="A239" s="2">
        <v>43312</v>
      </c>
      <c r="B239" s="3" t="s">
        <v>156</v>
      </c>
      <c r="C239" s="3" t="s">
        <v>10</v>
      </c>
      <c r="D239" s="3" t="s">
        <v>11</v>
      </c>
      <c r="E239" s="3" t="s">
        <v>38</v>
      </c>
      <c r="F239" s="3" t="s">
        <v>286</v>
      </c>
      <c r="G239" s="3">
        <v>45.96</v>
      </c>
      <c r="J239" s="3" t="s">
        <v>481</v>
      </c>
      <c r="K239" s="11"/>
      <c r="L239" s="11">
        <v>125.13</v>
      </c>
      <c r="M239" s="11"/>
      <c r="N239" s="11"/>
      <c r="O239">
        <f t="shared" si="3"/>
        <v>125.13</v>
      </c>
    </row>
    <row r="240" spans="1:15" x14ac:dyDescent="0.35">
      <c r="A240" s="2">
        <v>43319</v>
      </c>
      <c r="B240" s="3" t="s">
        <v>353</v>
      </c>
      <c r="C240" s="3" t="s">
        <v>44</v>
      </c>
      <c r="D240" s="3" t="s">
        <v>11</v>
      </c>
      <c r="E240" s="3" t="s">
        <v>38</v>
      </c>
      <c r="F240" s="3" t="s">
        <v>45</v>
      </c>
      <c r="G240" s="3">
        <v>487.92</v>
      </c>
      <c r="J240" s="3" t="s">
        <v>370</v>
      </c>
      <c r="K240" s="11"/>
      <c r="L240" s="11">
        <v>207.48</v>
      </c>
      <c r="M240" s="11"/>
      <c r="N240" s="11"/>
      <c r="O240">
        <f t="shared" si="3"/>
        <v>207.48</v>
      </c>
    </row>
    <row r="241" spans="1:15" x14ac:dyDescent="0.35">
      <c r="A241" s="2">
        <v>43320</v>
      </c>
      <c r="B241" s="3" t="s">
        <v>354</v>
      </c>
      <c r="C241" s="3" t="s">
        <v>15</v>
      </c>
      <c r="D241" s="3" t="s">
        <v>28</v>
      </c>
      <c r="E241" s="3" t="s">
        <v>90</v>
      </c>
      <c r="F241" s="3" t="s">
        <v>299</v>
      </c>
      <c r="G241" s="3">
        <v>569.53599999999994</v>
      </c>
      <c r="J241" s="3" t="s">
        <v>587</v>
      </c>
      <c r="K241" s="11">
        <v>29.312000000000001</v>
      </c>
      <c r="L241" s="11"/>
      <c r="M241" s="11"/>
      <c r="N241" s="11"/>
      <c r="O241">
        <f t="shared" si="3"/>
        <v>29.312000000000001</v>
      </c>
    </row>
    <row r="242" spans="1:15" x14ac:dyDescent="0.35">
      <c r="A242" s="2">
        <v>43324</v>
      </c>
      <c r="B242" s="3" t="s">
        <v>143</v>
      </c>
      <c r="C242" s="3" t="s">
        <v>15</v>
      </c>
      <c r="D242" s="3" t="s">
        <v>28</v>
      </c>
      <c r="E242" s="3" t="s">
        <v>355</v>
      </c>
      <c r="F242" s="3" t="s">
        <v>356</v>
      </c>
      <c r="G242" s="3">
        <v>17.34</v>
      </c>
      <c r="J242" s="3" t="s">
        <v>22</v>
      </c>
      <c r="K242" s="11">
        <v>7.96</v>
      </c>
      <c r="L242" s="11"/>
      <c r="M242" s="11"/>
      <c r="N242" s="11"/>
      <c r="O242">
        <f t="shared" si="3"/>
        <v>7.96</v>
      </c>
    </row>
    <row r="243" spans="1:15" x14ac:dyDescent="0.35">
      <c r="A243" s="2">
        <v>43324</v>
      </c>
      <c r="B243" s="3" t="s">
        <v>357</v>
      </c>
      <c r="C243" s="3" t="s">
        <v>15</v>
      </c>
      <c r="D243" s="3" t="s">
        <v>16</v>
      </c>
      <c r="E243" s="3" t="s">
        <v>23</v>
      </c>
      <c r="F243" s="3" t="s">
        <v>358</v>
      </c>
      <c r="G243" s="3">
        <v>58.923999999999999</v>
      </c>
      <c r="J243" s="3" t="s">
        <v>194</v>
      </c>
      <c r="K243" s="11">
        <v>32.192</v>
      </c>
      <c r="L243" s="11"/>
      <c r="M243" s="11"/>
      <c r="N243" s="11"/>
      <c r="O243">
        <f t="shared" si="3"/>
        <v>32.192</v>
      </c>
    </row>
    <row r="244" spans="1:15" x14ac:dyDescent="0.35">
      <c r="A244" s="2">
        <v>43326</v>
      </c>
      <c r="B244" s="3" t="s">
        <v>359</v>
      </c>
      <c r="C244" s="3" t="s">
        <v>15</v>
      </c>
      <c r="D244" s="3" t="s">
        <v>11</v>
      </c>
      <c r="E244" s="3" t="s">
        <v>81</v>
      </c>
      <c r="F244" s="3" t="s">
        <v>82</v>
      </c>
      <c r="G244" s="3">
        <v>122.328</v>
      </c>
      <c r="J244" s="3" t="s">
        <v>126</v>
      </c>
      <c r="K244" s="11"/>
      <c r="L244" s="11"/>
      <c r="M244" s="11"/>
      <c r="N244" s="11">
        <v>43.92</v>
      </c>
      <c r="O244">
        <f t="shared" si="3"/>
        <v>43.92</v>
      </c>
    </row>
    <row r="245" spans="1:15" x14ac:dyDescent="0.35">
      <c r="A245" s="2">
        <v>43329</v>
      </c>
      <c r="B245" s="3" t="s">
        <v>360</v>
      </c>
      <c r="C245" s="3" t="s">
        <v>10</v>
      </c>
      <c r="D245" s="3" t="s">
        <v>49</v>
      </c>
      <c r="E245" s="3" t="s">
        <v>54</v>
      </c>
      <c r="F245" s="3" t="s">
        <v>63</v>
      </c>
      <c r="G245" s="3">
        <v>355.32</v>
      </c>
      <c r="J245" s="3" t="s">
        <v>472</v>
      </c>
      <c r="K245" s="11"/>
      <c r="L245" s="11"/>
      <c r="M245" s="11"/>
      <c r="N245" s="11">
        <v>81.08</v>
      </c>
      <c r="O245">
        <f t="shared" si="3"/>
        <v>81.08</v>
      </c>
    </row>
    <row r="246" spans="1:15" x14ac:dyDescent="0.35">
      <c r="A246" s="2">
        <v>43333</v>
      </c>
      <c r="B246" s="3" t="s">
        <v>361</v>
      </c>
      <c r="C246" s="3" t="s">
        <v>15</v>
      </c>
      <c r="D246" s="3" t="s">
        <v>49</v>
      </c>
      <c r="E246" s="3" t="s">
        <v>50</v>
      </c>
      <c r="F246" s="3" t="s">
        <v>51</v>
      </c>
      <c r="G246" s="3">
        <v>113.55200000000001</v>
      </c>
      <c r="J246" s="3" t="s">
        <v>419</v>
      </c>
      <c r="K246" s="11"/>
      <c r="L246" s="11"/>
      <c r="M246" s="11"/>
      <c r="N246" s="11">
        <v>7.9</v>
      </c>
      <c r="O246">
        <f t="shared" si="3"/>
        <v>7.9</v>
      </c>
    </row>
    <row r="247" spans="1:15" x14ac:dyDescent="0.35">
      <c r="A247" s="2">
        <v>43334</v>
      </c>
      <c r="B247" s="3" t="s">
        <v>362</v>
      </c>
      <c r="C247" s="3" t="s">
        <v>15</v>
      </c>
      <c r="D247" s="3" t="s">
        <v>11</v>
      </c>
      <c r="E247" s="3" t="s">
        <v>20</v>
      </c>
      <c r="F247" s="3" t="s">
        <v>21</v>
      </c>
      <c r="G247" s="3">
        <v>43.1</v>
      </c>
      <c r="J247" s="3" t="s">
        <v>414</v>
      </c>
      <c r="K247" s="11"/>
      <c r="L247" s="11"/>
      <c r="M247" s="11"/>
      <c r="N247" s="11">
        <v>87.168000000000006</v>
      </c>
      <c r="O247">
        <f t="shared" si="3"/>
        <v>87.168000000000006</v>
      </c>
    </row>
    <row r="248" spans="1:15" x14ac:dyDescent="0.35">
      <c r="A248" s="2">
        <v>43334</v>
      </c>
      <c r="B248" s="3" t="s">
        <v>363</v>
      </c>
      <c r="C248" s="3" t="s">
        <v>10</v>
      </c>
      <c r="D248" s="3" t="s">
        <v>49</v>
      </c>
      <c r="E248" s="3" t="s">
        <v>54</v>
      </c>
      <c r="F248" s="3" t="s">
        <v>63</v>
      </c>
      <c r="G248" s="3">
        <v>1040.8</v>
      </c>
      <c r="J248" s="3" t="s">
        <v>127</v>
      </c>
      <c r="K248" s="11"/>
      <c r="L248" s="11">
        <v>30.98</v>
      </c>
      <c r="M248" s="11"/>
      <c r="N248" s="11"/>
      <c r="O248">
        <f t="shared" si="3"/>
        <v>30.98</v>
      </c>
    </row>
    <row r="249" spans="1:15" x14ac:dyDescent="0.35">
      <c r="A249" s="2">
        <v>43343</v>
      </c>
      <c r="B249" s="3" t="s">
        <v>364</v>
      </c>
      <c r="C249" s="3" t="s">
        <v>15</v>
      </c>
      <c r="D249" s="3" t="s">
        <v>16</v>
      </c>
      <c r="E249" s="3" t="s">
        <v>17</v>
      </c>
      <c r="F249" s="3" t="s">
        <v>70</v>
      </c>
      <c r="G249" s="3">
        <v>376.74</v>
      </c>
      <c r="J249" s="3" t="s">
        <v>245</v>
      </c>
      <c r="K249" s="11"/>
      <c r="L249" s="11"/>
      <c r="M249" s="11"/>
      <c r="N249" s="11">
        <v>61.44</v>
      </c>
      <c r="O249">
        <f t="shared" si="3"/>
        <v>61.44</v>
      </c>
    </row>
    <row r="250" spans="1:15" x14ac:dyDescent="0.35">
      <c r="A250" s="2">
        <v>43344</v>
      </c>
      <c r="B250" s="3" t="s">
        <v>365</v>
      </c>
      <c r="C250" s="3" t="s">
        <v>15</v>
      </c>
      <c r="D250" s="3" t="s">
        <v>28</v>
      </c>
      <c r="E250" s="3" t="s">
        <v>90</v>
      </c>
      <c r="F250" s="3" t="s">
        <v>91</v>
      </c>
      <c r="G250" s="3">
        <v>309.45600000000002</v>
      </c>
      <c r="J250" s="3" t="s">
        <v>238</v>
      </c>
      <c r="K250" s="11"/>
      <c r="L250" s="11"/>
      <c r="M250" s="11"/>
      <c r="N250" s="11">
        <v>105.96</v>
      </c>
      <c r="O250">
        <f t="shared" si="3"/>
        <v>105.96</v>
      </c>
    </row>
    <row r="251" spans="1:15" x14ac:dyDescent="0.35">
      <c r="A251" s="2">
        <v>43346</v>
      </c>
      <c r="B251" s="3" t="s">
        <v>366</v>
      </c>
      <c r="C251" s="3" t="s">
        <v>15</v>
      </c>
      <c r="D251" s="3" t="s">
        <v>28</v>
      </c>
      <c r="E251" s="3" t="s">
        <v>136</v>
      </c>
      <c r="F251" s="3" t="s">
        <v>367</v>
      </c>
      <c r="G251" s="3">
        <v>87.168000000000006</v>
      </c>
      <c r="J251" s="3" t="s">
        <v>195</v>
      </c>
      <c r="K251" s="11">
        <v>644.07600000000002</v>
      </c>
      <c r="L251" s="11"/>
      <c r="M251" s="11"/>
      <c r="N251" s="11"/>
      <c r="O251">
        <f t="shared" si="3"/>
        <v>644.07600000000002</v>
      </c>
    </row>
    <row r="252" spans="1:15" x14ac:dyDescent="0.35">
      <c r="A252" s="2">
        <v>43347</v>
      </c>
      <c r="B252" s="3" t="s">
        <v>368</v>
      </c>
      <c r="C252" s="3" t="s">
        <v>44</v>
      </c>
      <c r="D252" s="3" t="s">
        <v>16</v>
      </c>
      <c r="E252" s="3" t="s">
        <v>23</v>
      </c>
      <c r="F252" s="3" t="s">
        <v>26</v>
      </c>
      <c r="G252" s="3">
        <v>62.79</v>
      </c>
      <c r="J252" s="3" t="s">
        <v>397</v>
      </c>
      <c r="K252" s="11"/>
      <c r="L252" s="11">
        <v>8.74</v>
      </c>
      <c r="M252" s="11"/>
      <c r="N252" s="11"/>
      <c r="O252">
        <f t="shared" si="3"/>
        <v>8.74</v>
      </c>
    </row>
    <row r="253" spans="1:15" x14ac:dyDescent="0.35">
      <c r="A253" s="2">
        <v>43348</v>
      </c>
      <c r="B253" s="3" t="s">
        <v>291</v>
      </c>
      <c r="C253" s="3" t="s">
        <v>10</v>
      </c>
      <c r="D253" s="3" t="s">
        <v>16</v>
      </c>
      <c r="E253" s="3" t="s">
        <v>32</v>
      </c>
      <c r="F253" s="3" t="s">
        <v>369</v>
      </c>
      <c r="G253" s="3">
        <v>77.88</v>
      </c>
      <c r="J253" s="3" t="s">
        <v>76</v>
      </c>
      <c r="K253" s="11"/>
      <c r="L253" s="11">
        <v>44.415999999999997</v>
      </c>
      <c r="M253" s="11"/>
      <c r="N253" s="11"/>
      <c r="O253">
        <f t="shared" si="3"/>
        <v>44.415999999999997</v>
      </c>
    </row>
    <row r="254" spans="1:15" x14ac:dyDescent="0.35">
      <c r="A254" s="2">
        <v>43350</v>
      </c>
      <c r="B254" s="3" t="s">
        <v>370</v>
      </c>
      <c r="C254" s="3" t="s">
        <v>44</v>
      </c>
      <c r="D254" s="3" t="s">
        <v>49</v>
      </c>
      <c r="E254" s="3" t="s">
        <v>54</v>
      </c>
      <c r="F254" s="3" t="s">
        <v>63</v>
      </c>
      <c r="G254" s="3">
        <v>207.48</v>
      </c>
      <c r="J254" s="3" t="s">
        <v>222</v>
      </c>
      <c r="K254" s="11">
        <v>850.5</v>
      </c>
      <c r="L254" s="11"/>
      <c r="M254" s="11"/>
      <c r="N254" s="11"/>
      <c r="O254">
        <f t="shared" si="3"/>
        <v>850.5</v>
      </c>
    </row>
    <row r="255" spans="1:15" x14ac:dyDescent="0.35">
      <c r="A255" s="2">
        <v>43355</v>
      </c>
      <c r="B255" s="3" t="s">
        <v>371</v>
      </c>
      <c r="C255" s="3" t="s">
        <v>15</v>
      </c>
      <c r="D255" s="3" t="s">
        <v>16</v>
      </c>
      <c r="E255" s="3" t="s">
        <v>129</v>
      </c>
      <c r="F255" s="3" t="s">
        <v>130</v>
      </c>
      <c r="G255" s="3">
        <v>378</v>
      </c>
      <c r="J255" s="3" t="s">
        <v>529</v>
      </c>
      <c r="K255" s="11"/>
      <c r="L255" s="11"/>
      <c r="M255" s="11"/>
      <c r="N255" s="11">
        <v>241.96</v>
      </c>
      <c r="O255">
        <f t="shared" si="3"/>
        <v>241.96</v>
      </c>
    </row>
    <row r="256" spans="1:15" x14ac:dyDescent="0.35">
      <c r="A256" s="2">
        <v>43358</v>
      </c>
      <c r="B256" s="3" t="s">
        <v>372</v>
      </c>
      <c r="C256" s="3" t="s">
        <v>10</v>
      </c>
      <c r="D256" s="3" t="s">
        <v>11</v>
      </c>
      <c r="E256" s="3" t="s">
        <v>38</v>
      </c>
      <c r="F256" s="3" t="s">
        <v>373</v>
      </c>
      <c r="G256" s="3">
        <v>17.48</v>
      </c>
      <c r="J256" s="3" t="s">
        <v>484</v>
      </c>
      <c r="K256" s="11"/>
      <c r="L256" s="11"/>
      <c r="M256" s="11">
        <v>29.672000000000001</v>
      </c>
      <c r="N256" s="11"/>
      <c r="O256">
        <f t="shared" si="3"/>
        <v>29.672000000000001</v>
      </c>
    </row>
    <row r="257" spans="1:15" x14ac:dyDescent="0.35">
      <c r="A257" s="2">
        <v>43362</v>
      </c>
      <c r="B257" s="3" t="s">
        <v>374</v>
      </c>
      <c r="C257" s="3" t="s">
        <v>15</v>
      </c>
      <c r="D257" s="3" t="s">
        <v>49</v>
      </c>
      <c r="E257" s="3" t="s">
        <v>54</v>
      </c>
      <c r="F257" s="3" t="s">
        <v>63</v>
      </c>
      <c r="G257" s="3">
        <v>393.25</v>
      </c>
      <c r="J257" s="3" t="s">
        <v>532</v>
      </c>
      <c r="K257" s="11"/>
      <c r="L257" s="11"/>
      <c r="M257" s="11"/>
      <c r="N257" s="11">
        <v>227.84</v>
      </c>
      <c r="O257">
        <f t="shared" si="3"/>
        <v>227.84</v>
      </c>
    </row>
    <row r="258" spans="1:15" x14ac:dyDescent="0.35">
      <c r="A258" s="2">
        <v>43367</v>
      </c>
      <c r="B258" s="3" t="s">
        <v>167</v>
      </c>
      <c r="C258" s="3" t="s">
        <v>15</v>
      </c>
      <c r="D258" s="3" t="s">
        <v>49</v>
      </c>
      <c r="E258" s="3" t="s">
        <v>50</v>
      </c>
      <c r="F258" s="3" t="s">
        <v>375</v>
      </c>
      <c r="G258" s="3">
        <v>286.25599999999997</v>
      </c>
      <c r="J258" s="3" t="s">
        <v>131</v>
      </c>
      <c r="K258" s="11"/>
      <c r="L258" s="11">
        <v>143.952</v>
      </c>
      <c r="M258" s="11"/>
      <c r="N258" s="11"/>
      <c r="O258">
        <f t="shared" si="3"/>
        <v>143.952</v>
      </c>
    </row>
    <row r="259" spans="1:15" x14ac:dyDescent="0.35">
      <c r="A259" s="2">
        <v>43368</v>
      </c>
      <c r="B259" s="3" t="s">
        <v>376</v>
      </c>
      <c r="C259" s="3" t="s">
        <v>44</v>
      </c>
      <c r="D259" s="3" t="s">
        <v>11</v>
      </c>
      <c r="E259" s="3" t="s">
        <v>20</v>
      </c>
      <c r="F259" s="3" t="s">
        <v>377</v>
      </c>
      <c r="G259" s="3">
        <v>236.88</v>
      </c>
      <c r="J259" s="3" t="s">
        <v>439</v>
      </c>
      <c r="K259" s="11"/>
      <c r="L259" s="11"/>
      <c r="M259" s="11">
        <v>1245.8599999999999</v>
      </c>
      <c r="N259" s="11"/>
      <c r="O259">
        <f t="shared" si="3"/>
        <v>1245.8599999999999</v>
      </c>
    </row>
    <row r="260" spans="1:15" x14ac:dyDescent="0.35">
      <c r="A260" s="2">
        <v>43368</v>
      </c>
      <c r="B260" s="3" t="s">
        <v>378</v>
      </c>
      <c r="C260" s="3" t="s">
        <v>10</v>
      </c>
      <c r="D260" s="3" t="s">
        <v>16</v>
      </c>
      <c r="E260" s="3" t="s">
        <v>23</v>
      </c>
      <c r="F260" s="3" t="s">
        <v>26</v>
      </c>
      <c r="G260" s="3">
        <v>93.031999999999996</v>
      </c>
      <c r="J260" s="3" t="s">
        <v>229</v>
      </c>
      <c r="K260" s="11">
        <v>58.463999999999999</v>
      </c>
      <c r="L260" s="11">
        <v>464.71600000000001</v>
      </c>
      <c r="M260" s="11"/>
      <c r="N260" s="11"/>
      <c r="O260">
        <f t="shared" si="3"/>
        <v>261.59000000000003</v>
      </c>
    </row>
    <row r="261" spans="1:15" x14ac:dyDescent="0.35">
      <c r="A261" s="2">
        <v>43374</v>
      </c>
      <c r="B261" s="3" t="s">
        <v>379</v>
      </c>
      <c r="C261" s="3" t="s">
        <v>10</v>
      </c>
      <c r="D261" s="3" t="s">
        <v>49</v>
      </c>
      <c r="E261" s="3" t="s">
        <v>54</v>
      </c>
      <c r="F261" s="3" t="s">
        <v>63</v>
      </c>
      <c r="G261" s="3">
        <v>61.44</v>
      </c>
      <c r="J261" s="3" t="s">
        <v>542</v>
      </c>
      <c r="K261" s="11">
        <v>83.9</v>
      </c>
      <c r="L261" s="11"/>
      <c r="M261" s="11"/>
      <c r="N261" s="11"/>
      <c r="O261">
        <f t="shared" si="3"/>
        <v>83.9</v>
      </c>
    </row>
    <row r="262" spans="1:15" x14ac:dyDescent="0.35">
      <c r="A262" s="2">
        <v>43387</v>
      </c>
      <c r="B262" s="3" t="s">
        <v>177</v>
      </c>
      <c r="C262" s="3" t="s">
        <v>44</v>
      </c>
      <c r="D262" s="3" t="s">
        <v>16</v>
      </c>
      <c r="E262" s="3" t="s">
        <v>74</v>
      </c>
      <c r="F262" s="3" t="s">
        <v>380</v>
      </c>
      <c r="G262" s="3">
        <v>868.59</v>
      </c>
      <c r="J262" s="3" t="s">
        <v>149</v>
      </c>
      <c r="K262" s="11"/>
      <c r="L262" s="11"/>
      <c r="M262" s="11">
        <v>58.24</v>
      </c>
      <c r="N262" s="11"/>
      <c r="O262">
        <f t="shared" ref="O262:O325" si="4">AVERAGE(K262:N262)</f>
        <v>58.24</v>
      </c>
    </row>
    <row r="263" spans="1:15" x14ac:dyDescent="0.35">
      <c r="A263" s="2">
        <v>43387</v>
      </c>
      <c r="B263" s="3" t="s">
        <v>69</v>
      </c>
      <c r="C263" s="3" t="s">
        <v>10</v>
      </c>
      <c r="D263" s="3" t="s">
        <v>28</v>
      </c>
      <c r="E263" s="3" t="s">
        <v>253</v>
      </c>
      <c r="F263" s="3" t="s">
        <v>13</v>
      </c>
      <c r="G263" s="3">
        <v>43.26</v>
      </c>
      <c r="J263" s="3" t="s">
        <v>349</v>
      </c>
      <c r="K263" s="11"/>
      <c r="L263" s="11">
        <v>9.48</v>
      </c>
      <c r="M263" s="11"/>
      <c r="N263" s="11"/>
      <c r="O263">
        <f t="shared" si="4"/>
        <v>9.48</v>
      </c>
    </row>
    <row r="264" spans="1:15" x14ac:dyDescent="0.35">
      <c r="A264" s="2">
        <v>43389</v>
      </c>
      <c r="B264" s="3" t="s">
        <v>381</v>
      </c>
      <c r="C264" s="3" t="s">
        <v>44</v>
      </c>
      <c r="D264" s="3" t="s">
        <v>16</v>
      </c>
      <c r="E264" s="3" t="s">
        <v>320</v>
      </c>
      <c r="F264" s="3" t="s">
        <v>168</v>
      </c>
      <c r="G264" s="3">
        <v>1927.59</v>
      </c>
      <c r="J264" s="3" t="s">
        <v>207</v>
      </c>
      <c r="K264" s="11">
        <v>19.568000000000001</v>
      </c>
      <c r="L264" s="11"/>
      <c r="M264" s="11"/>
      <c r="N264" s="11">
        <v>97.84</v>
      </c>
      <c r="O264">
        <f t="shared" si="4"/>
        <v>58.704000000000001</v>
      </c>
    </row>
    <row r="265" spans="1:15" x14ac:dyDescent="0.35">
      <c r="A265" s="2">
        <v>43399</v>
      </c>
      <c r="B265" s="3" t="s">
        <v>382</v>
      </c>
      <c r="C265" s="3" t="s">
        <v>10</v>
      </c>
      <c r="D265" s="3" t="s">
        <v>11</v>
      </c>
      <c r="E265" s="3" t="s">
        <v>38</v>
      </c>
      <c r="F265" s="3" t="s">
        <v>39</v>
      </c>
      <c r="G265" s="3">
        <v>43.92</v>
      </c>
      <c r="J265" s="3" t="s">
        <v>269</v>
      </c>
      <c r="K265" s="11"/>
      <c r="L265" s="11"/>
      <c r="M265" s="11">
        <v>826.11</v>
      </c>
      <c r="N265" s="11"/>
      <c r="O265">
        <f t="shared" si="4"/>
        <v>826.11</v>
      </c>
    </row>
    <row r="266" spans="1:15" x14ac:dyDescent="0.35">
      <c r="A266" s="2">
        <v>43401</v>
      </c>
      <c r="B266" s="3" t="s">
        <v>383</v>
      </c>
      <c r="C266" s="3" t="s">
        <v>10</v>
      </c>
      <c r="D266" s="3" t="s">
        <v>49</v>
      </c>
      <c r="E266" s="3" t="s">
        <v>117</v>
      </c>
      <c r="F266" s="3" t="s">
        <v>384</v>
      </c>
      <c r="G266" s="3">
        <v>11.67</v>
      </c>
      <c r="J266" s="3" t="s">
        <v>508</v>
      </c>
      <c r="K266" s="11"/>
      <c r="L266" s="11"/>
      <c r="M266" s="11">
        <v>179.29599999999999</v>
      </c>
      <c r="N266" s="11"/>
      <c r="O266">
        <f t="shared" si="4"/>
        <v>179.29599999999999</v>
      </c>
    </row>
    <row r="267" spans="1:15" x14ac:dyDescent="0.35">
      <c r="A267" s="2">
        <v>43406</v>
      </c>
      <c r="B267" s="3" t="s">
        <v>385</v>
      </c>
      <c r="C267" s="3" t="s">
        <v>15</v>
      </c>
      <c r="D267" s="3" t="s">
        <v>11</v>
      </c>
      <c r="E267" s="3" t="s">
        <v>38</v>
      </c>
      <c r="F267" s="3" t="s">
        <v>45</v>
      </c>
      <c r="G267" s="3">
        <v>1101.48</v>
      </c>
      <c r="J267" s="3" t="s">
        <v>506</v>
      </c>
      <c r="K267" s="11"/>
      <c r="L267" s="11"/>
      <c r="M267" s="11"/>
      <c r="N267" s="11">
        <v>203.52</v>
      </c>
      <c r="O267">
        <f t="shared" si="4"/>
        <v>203.52</v>
      </c>
    </row>
    <row r="268" spans="1:15" x14ac:dyDescent="0.35">
      <c r="A268" s="2">
        <v>43406</v>
      </c>
      <c r="B268" s="3" t="s">
        <v>14</v>
      </c>
      <c r="C268" s="3" t="s">
        <v>15</v>
      </c>
      <c r="D268" s="3" t="s">
        <v>11</v>
      </c>
      <c r="E268" s="3" t="s">
        <v>38</v>
      </c>
      <c r="F268" s="3" t="s">
        <v>45</v>
      </c>
      <c r="G268" s="3">
        <v>43.32</v>
      </c>
      <c r="J268" s="3" t="s">
        <v>386</v>
      </c>
      <c r="K268" s="11">
        <v>706.86</v>
      </c>
      <c r="L268" s="11">
        <v>334.88</v>
      </c>
      <c r="M268" s="11"/>
      <c r="N268" s="11"/>
      <c r="O268">
        <f t="shared" si="4"/>
        <v>520.87</v>
      </c>
    </row>
    <row r="269" spans="1:15" x14ac:dyDescent="0.35">
      <c r="A269" s="2">
        <v>43413</v>
      </c>
      <c r="B269" s="3" t="s">
        <v>386</v>
      </c>
      <c r="C269" s="3" t="s">
        <v>44</v>
      </c>
      <c r="D269" s="3" t="s">
        <v>49</v>
      </c>
      <c r="E269" s="3" t="s">
        <v>50</v>
      </c>
      <c r="F269" s="3" t="s">
        <v>13</v>
      </c>
      <c r="G269" s="3">
        <v>334.88</v>
      </c>
      <c r="J269" s="3" t="s">
        <v>43</v>
      </c>
      <c r="K269" s="11"/>
      <c r="L269" s="11"/>
      <c r="M269" s="11"/>
      <c r="N269" s="11">
        <v>106.96</v>
      </c>
      <c r="O269">
        <f t="shared" si="4"/>
        <v>106.96</v>
      </c>
    </row>
    <row r="270" spans="1:15" x14ac:dyDescent="0.35">
      <c r="A270" s="2">
        <v>43413</v>
      </c>
      <c r="B270" s="3" t="s">
        <v>387</v>
      </c>
      <c r="C270" s="3" t="s">
        <v>15</v>
      </c>
      <c r="D270" s="3" t="s">
        <v>11</v>
      </c>
      <c r="E270" s="3" t="s">
        <v>38</v>
      </c>
      <c r="F270" s="3" t="s">
        <v>45</v>
      </c>
      <c r="G270" s="3">
        <v>129.91999999999999</v>
      </c>
      <c r="J270" s="3" t="s">
        <v>301</v>
      </c>
      <c r="K270" s="11">
        <v>490.32</v>
      </c>
      <c r="L270" s="11"/>
      <c r="M270" s="11"/>
      <c r="N270" s="11"/>
      <c r="O270">
        <f t="shared" si="4"/>
        <v>490.32</v>
      </c>
    </row>
    <row r="271" spans="1:15" x14ac:dyDescent="0.35">
      <c r="A271" s="2">
        <v>43414</v>
      </c>
      <c r="B271" s="3" t="s">
        <v>388</v>
      </c>
      <c r="C271" s="3" t="s">
        <v>44</v>
      </c>
      <c r="D271" s="3" t="s">
        <v>28</v>
      </c>
      <c r="E271" s="3" t="s">
        <v>107</v>
      </c>
      <c r="F271" s="3" t="s">
        <v>389</v>
      </c>
      <c r="G271" s="3">
        <v>671.54399999999998</v>
      </c>
      <c r="J271" s="3" t="s">
        <v>457</v>
      </c>
      <c r="K271" s="11"/>
      <c r="L271" s="11"/>
      <c r="M271" s="11">
        <v>64.384</v>
      </c>
      <c r="N271" s="11"/>
      <c r="O271">
        <f t="shared" si="4"/>
        <v>64.384</v>
      </c>
    </row>
    <row r="272" spans="1:15" x14ac:dyDescent="0.35">
      <c r="A272" s="2">
        <v>43415</v>
      </c>
      <c r="B272" s="3" t="s">
        <v>390</v>
      </c>
      <c r="C272" s="3" t="s">
        <v>10</v>
      </c>
      <c r="D272" s="3" t="s">
        <v>16</v>
      </c>
      <c r="E272" s="3" t="s">
        <v>172</v>
      </c>
      <c r="F272" s="3" t="s">
        <v>391</v>
      </c>
      <c r="G272" s="3">
        <v>37.68</v>
      </c>
      <c r="J272" s="3" t="s">
        <v>546</v>
      </c>
      <c r="K272" s="11"/>
      <c r="L272" s="11">
        <v>100.94</v>
      </c>
      <c r="M272" s="11"/>
      <c r="N272" s="11"/>
      <c r="O272">
        <f t="shared" si="4"/>
        <v>100.94</v>
      </c>
    </row>
    <row r="273" spans="1:15" x14ac:dyDescent="0.35">
      <c r="A273" s="2">
        <v>43415</v>
      </c>
      <c r="B273" s="3" t="s">
        <v>392</v>
      </c>
      <c r="C273" s="3" t="s">
        <v>15</v>
      </c>
      <c r="D273" s="3" t="s">
        <v>49</v>
      </c>
      <c r="E273" s="3" t="s">
        <v>50</v>
      </c>
      <c r="F273" s="3" t="s">
        <v>393</v>
      </c>
      <c r="G273" s="3">
        <v>110.096</v>
      </c>
      <c r="J273" s="3" t="s">
        <v>198</v>
      </c>
      <c r="K273" s="11">
        <v>463.24799999999999</v>
      </c>
      <c r="L273" s="11"/>
      <c r="M273" s="11"/>
      <c r="N273" s="11"/>
      <c r="O273">
        <f t="shared" si="4"/>
        <v>463.24799999999999</v>
      </c>
    </row>
    <row r="274" spans="1:15" x14ac:dyDescent="0.35">
      <c r="A274" s="2">
        <v>43421</v>
      </c>
      <c r="B274" s="3" t="s">
        <v>394</v>
      </c>
      <c r="C274" s="3" t="s">
        <v>10</v>
      </c>
      <c r="D274" s="3" t="s">
        <v>49</v>
      </c>
      <c r="E274" s="3" t="s">
        <v>50</v>
      </c>
      <c r="F274" s="3" t="s">
        <v>182</v>
      </c>
      <c r="G274" s="3">
        <v>103.968</v>
      </c>
      <c r="J274" s="3" t="s">
        <v>266</v>
      </c>
      <c r="K274" s="11">
        <v>715.64</v>
      </c>
      <c r="L274" s="11">
        <v>523.25</v>
      </c>
      <c r="M274" s="11"/>
      <c r="N274" s="11"/>
      <c r="O274">
        <f t="shared" si="4"/>
        <v>619.44499999999994</v>
      </c>
    </row>
    <row r="275" spans="1:15" x14ac:dyDescent="0.35">
      <c r="A275" s="2">
        <v>43421</v>
      </c>
      <c r="B275" s="3" t="s">
        <v>395</v>
      </c>
      <c r="C275" s="3" t="s">
        <v>44</v>
      </c>
      <c r="D275" s="3" t="s">
        <v>11</v>
      </c>
      <c r="E275" s="3" t="s">
        <v>38</v>
      </c>
      <c r="F275" s="3" t="s">
        <v>45</v>
      </c>
      <c r="G275" s="3">
        <v>67.84</v>
      </c>
      <c r="J275" s="3" t="s">
        <v>385</v>
      </c>
      <c r="K275" s="11"/>
      <c r="L275" s="11"/>
      <c r="M275" s="11"/>
      <c r="N275" s="11">
        <v>1101.48</v>
      </c>
      <c r="O275">
        <f t="shared" si="4"/>
        <v>1101.48</v>
      </c>
    </row>
    <row r="276" spans="1:15" x14ac:dyDescent="0.35">
      <c r="A276" s="2">
        <v>43422</v>
      </c>
      <c r="B276" s="3" t="s">
        <v>379</v>
      </c>
      <c r="C276" s="3" t="s">
        <v>10</v>
      </c>
      <c r="D276" s="3" t="s">
        <v>16</v>
      </c>
      <c r="E276" s="3" t="s">
        <v>172</v>
      </c>
      <c r="F276" s="3" t="s">
        <v>396</v>
      </c>
      <c r="G276" s="3">
        <v>54.96</v>
      </c>
      <c r="J276" s="3" t="s">
        <v>69</v>
      </c>
      <c r="K276" s="11">
        <v>65.52</v>
      </c>
      <c r="L276" s="11"/>
      <c r="M276" s="11">
        <v>43.26</v>
      </c>
      <c r="N276" s="11"/>
      <c r="O276">
        <f t="shared" si="4"/>
        <v>54.39</v>
      </c>
    </row>
    <row r="277" spans="1:15" x14ac:dyDescent="0.35">
      <c r="A277" s="2">
        <v>43422</v>
      </c>
      <c r="B277" s="3" t="s">
        <v>397</v>
      </c>
      <c r="C277" s="3" t="s">
        <v>15</v>
      </c>
      <c r="D277" s="3" t="s">
        <v>49</v>
      </c>
      <c r="E277" s="3" t="s">
        <v>54</v>
      </c>
      <c r="F277" s="3" t="s">
        <v>115</v>
      </c>
      <c r="G277" s="3">
        <v>8.74</v>
      </c>
      <c r="J277" s="3" t="s">
        <v>285</v>
      </c>
      <c r="K277" s="11"/>
      <c r="L277" s="11"/>
      <c r="M277" s="11"/>
      <c r="N277" s="11">
        <v>134.47999999999999</v>
      </c>
      <c r="O277">
        <f t="shared" si="4"/>
        <v>134.47999999999999</v>
      </c>
    </row>
    <row r="278" spans="1:15" x14ac:dyDescent="0.35">
      <c r="A278" s="2">
        <v>43423</v>
      </c>
      <c r="B278" s="3" t="s">
        <v>398</v>
      </c>
      <c r="C278" s="3" t="s">
        <v>10</v>
      </c>
      <c r="D278" s="3" t="s">
        <v>11</v>
      </c>
      <c r="E278" s="3" t="s">
        <v>38</v>
      </c>
      <c r="F278" s="3" t="s">
        <v>45</v>
      </c>
      <c r="G278" s="3">
        <v>39</v>
      </c>
      <c r="J278" s="3" t="s">
        <v>56</v>
      </c>
      <c r="K278" s="11"/>
      <c r="L278" s="11">
        <v>33.28</v>
      </c>
      <c r="M278" s="11"/>
      <c r="N278" s="11"/>
      <c r="O278">
        <f t="shared" si="4"/>
        <v>33.28</v>
      </c>
    </row>
    <row r="279" spans="1:15" x14ac:dyDescent="0.35">
      <c r="A279" s="2">
        <v>43427</v>
      </c>
      <c r="B279" s="3" t="s">
        <v>399</v>
      </c>
      <c r="C279" s="3" t="s">
        <v>44</v>
      </c>
      <c r="D279" s="3" t="s">
        <v>28</v>
      </c>
      <c r="E279" s="3" t="s">
        <v>107</v>
      </c>
      <c r="F279" s="3" t="s">
        <v>400</v>
      </c>
      <c r="G279" s="3">
        <v>42.384</v>
      </c>
      <c r="J279" s="3" t="s">
        <v>344</v>
      </c>
      <c r="K279" s="11"/>
      <c r="L279" s="11"/>
      <c r="M279" s="11"/>
      <c r="N279" s="11">
        <v>151.62</v>
      </c>
      <c r="O279">
        <f t="shared" si="4"/>
        <v>151.62</v>
      </c>
    </row>
    <row r="280" spans="1:15" x14ac:dyDescent="0.35">
      <c r="A280" s="2">
        <v>43429</v>
      </c>
      <c r="B280" s="3" t="s">
        <v>150</v>
      </c>
      <c r="C280" s="3" t="s">
        <v>15</v>
      </c>
      <c r="D280" s="3" t="s">
        <v>11</v>
      </c>
      <c r="E280" s="3" t="s">
        <v>38</v>
      </c>
      <c r="F280" s="3" t="s">
        <v>45</v>
      </c>
      <c r="G280" s="3">
        <v>64.959999999999994</v>
      </c>
      <c r="J280" s="3" t="s">
        <v>428</v>
      </c>
      <c r="K280" s="11"/>
      <c r="L280" s="11">
        <v>542.94000000000005</v>
      </c>
      <c r="M280" s="11"/>
      <c r="N280" s="11"/>
      <c r="O280">
        <f t="shared" si="4"/>
        <v>542.94000000000005</v>
      </c>
    </row>
    <row r="281" spans="1:15" x14ac:dyDescent="0.35">
      <c r="A281" s="2">
        <v>43430</v>
      </c>
      <c r="B281" s="3" t="s">
        <v>401</v>
      </c>
      <c r="C281" s="3" t="s">
        <v>10</v>
      </c>
      <c r="D281" s="3" t="s">
        <v>16</v>
      </c>
      <c r="E281" s="3" t="s">
        <v>17</v>
      </c>
      <c r="F281" s="3" t="s">
        <v>402</v>
      </c>
      <c r="G281" s="3">
        <v>167.292</v>
      </c>
      <c r="J281" s="3" t="s">
        <v>121</v>
      </c>
      <c r="K281" s="11"/>
      <c r="L281" s="11">
        <v>3.552</v>
      </c>
      <c r="M281" s="11"/>
      <c r="N281" s="11">
        <v>22.66</v>
      </c>
      <c r="O281">
        <f t="shared" si="4"/>
        <v>13.106</v>
      </c>
    </row>
    <row r="282" spans="1:15" x14ac:dyDescent="0.35">
      <c r="A282" s="2">
        <v>43434</v>
      </c>
      <c r="B282" s="3" t="s">
        <v>289</v>
      </c>
      <c r="C282" s="3" t="s">
        <v>15</v>
      </c>
      <c r="D282" s="3" t="s">
        <v>16</v>
      </c>
      <c r="E282" s="3" t="s">
        <v>23</v>
      </c>
      <c r="F282" s="3" t="s">
        <v>403</v>
      </c>
      <c r="G282" s="3">
        <v>11.648</v>
      </c>
      <c r="J282" s="3" t="s">
        <v>181</v>
      </c>
      <c r="K282" s="11"/>
      <c r="L282" s="11">
        <v>48.36</v>
      </c>
      <c r="M282" s="11"/>
      <c r="N282" s="11"/>
      <c r="O282">
        <f t="shared" si="4"/>
        <v>48.36</v>
      </c>
    </row>
    <row r="283" spans="1:15" x14ac:dyDescent="0.35">
      <c r="A283" s="2">
        <v>43434</v>
      </c>
      <c r="B283" s="3" t="s">
        <v>404</v>
      </c>
      <c r="C283" s="3" t="s">
        <v>15</v>
      </c>
      <c r="D283" s="3" t="s">
        <v>49</v>
      </c>
      <c r="E283" s="3" t="s">
        <v>60</v>
      </c>
      <c r="F283" s="3" t="s">
        <v>405</v>
      </c>
      <c r="G283" s="3">
        <v>901.95</v>
      </c>
      <c r="J283" s="3" t="s">
        <v>99</v>
      </c>
      <c r="K283" s="11"/>
      <c r="L283" s="11">
        <v>79.47</v>
      </c>
      <c r="M283" s="11">
        <v>179.94</v>
      </c>
      <c r="N283" s="11"/>
      <c r="O283">
        <f t="shared" si="4"/>
        <v>129.70499999999998</v>
      </c>
    </row>
    <row r="284" spans="1:15" x14ac:dyDescent="0.35">
      <c r="A284" s="2">
        <v>43434</v>
      </c>
      <c r="B284" s="3" t="s">
        <v>406</v>
      </c>
      <c r="C284" s="3" t="s">
        <v>10</v>
      </c>
      <c r="D284" s="3" t="s">
        <v>28</v>
      </c>
      <c r="E284" s="3" t="s">
        <v>253</v>
      </c>
      <c r="F284" s="3" t="s">
        <v>30</v>
      </c>
      <c r="G284" s="3">
        <v>2104.5500000000002</v>
      </c>
      <c r="J284" s="3" t="s">
        <v>226</v>
      </c>
      <c r="K284" s="11">
        <v>32.783999999999999</v>
      </c>
      <c r="L284" s="11"/>
      <c r="M284" s="11"/>
      <c r="N284" s="11"/>
      <c r="O284">
        <f t="shared" si="4"/>
        <v>32.783999999999999</v>
      </c>
    </row>
    <row r="285" spans="1:15" x14ac:dyDescent="0.35">
      <c r="A285" s="2">
        <v>43435</v>
      </c>
      <c r="B285" s="3" t="s">
        <v>372</v>
      </c>
      <c r="C285" s="3" t="s">
        <v>10</v>
      </c>
      <c r="D285" s="3" t="s">
        <v>11</v>
      </c>
      <c r="E285" s="3" t="s">
        <v>38</v>
      </c>
      <c r="F285" s="3" t="s">
        <v>373</v>
      </c>
      <c r="G285" s="3">
        <v>59.7</v>
      </c>
      <c r="J285" s="3" t="s">
        <v>478</v>
      </c>
      <c r="K285" s="11"/>
      <c r="L285" s="11"/>
      <c r="M285" s="11"/>
      <c r="N285" s="11">
        <v>173.86</v>
      </c>
      <c r="O285">
        <f t="shared" si="4"/>
        <v>173.86</v>
      </c>
    </row>
    <row r="286" spans="1:15" x14ac:dyDescent="0.35">
      <c r="A286" s="2">
        <v>43436</v>
      </c>
      <c r="B286" s="3" t="s">
        <v>407</v>
      </c>
      <c r="C286" s="3" t="s">
        <v>15</v>
      </c>
      <c r="D286" s="3" t="s">
        <v>49</v>
      </c>
      <c r="E286" s="3" t="s">
        <v>77</v>
      </c>
      <c r="F286" s="3" t="s">
        <v>78</v>
      </c>
      <c r="G286" s="3">
        <v>394.81599999999997</v>
      </c>
      <c r="J286" s="3" t="s">
        <v>348</v>
      </c>
      <c r="K286" s="11"/>
      <c r="L286" s="11">
        <v>243.88</v>
      </c>
      <c r="M286" s="11"/>
      <c r="N286" s="11"/>
      <c r="O286">
        <f t="shared" si="4"/>
        <v>243.88</v>
      </c>
    </row>
    <row r="287" spans="1:15" x14ac:dyDescent="0.35">
      <c r="A287" s="2">
        <v>43442</v>
      </c>
      <c r="B287" s="3" t="s">
        <v>408</v>
      </c>
      <c r="C287" s="3" t="s">
        <v>10</v>
      </c>
      <c r="D287" s="3" t="s">
        <v>16</v>
      </c>
      <c r="E287" s="3" t="s">
        <v>129</v>
      </c>
      <c r="F287" s="3" t="s">
        <v>409</v>
      </c>
      <c r="G287" s="3">
        <v>60.34</v>
      </c>
      <c r="J287" s="3" t="s">
        <v>247</v>
      </c>
      <c r="K287" s="11">
        <v>87.444000000000003</v>
      </c>
      <c r="L287" s="11"/>
      <c r="M287" s="11"/>
      <c r="N287" s="11">
        <v>2893.5619999999999</v>
      </c>
      <c r="O287">
        <f t="shared" si="4"/>
        <v>1490.5029999999999</v>
      </c>
    </row>
    <row r="288" spans="1:15" x14ac:dyDescent="0.35">
      <c r="A288" s="2">
        <v>43442</v>
      </c>
      <c r="B288" s="3" t="s">
        <v>410</v>
      </c>
      <c r="C288" s="3" t="s">
        <v>15</v>
      </c>
      <c r="D288" s="3" t="s">
        <v>16</v>
      </c>
      <c r="E288" s="3" t="s">
        <v>17</v>
      </c>
      <c r="F288" s="3" t="s">
        <v>36</v>
      </c>
      <c r="G288" s="3">
        <v>61.929000000000002</v>
      </c>
      <c r="J288" s="3" t="s">
        <v>571</v>
      </c>
      <c r="K288" s="11">
        <v>61.44</v>
      </c>
      <c r="L288" s="11"/>
      <c r="M288" s="11"/>
      <c r="N288" s="11"/>
      <c r="O288">
        <f t="shared" si="4"/>
        <v>61.44</v>
      </c>
    </row>
    <row r="289" spans="1:15" x14ac:dyDescent="0.35">
      <c r="A289" s="2">
        <v>43442</v>
      </c>
      <c r="B289" s="3" t="s">
        <v>351</v>
      </c>
      <c r="C289" s="3" t="s">
        <v>10</v>
      </c>
      <c r="D289" s="3" t="s">
        <v>16</v>
      </c>
      <c r="E289" s="3" t="s">
        <v>65</v>
      </c>
      <c r="F289" s="3" t="s">
        <v>66</v>
      </c>
      <c r="G289" s="3">
        <v>4.3559999999999999</v>
      </c>
      <c r="J289" s="3" t="s">
        <v>40</v>
      </c>
      <c r="K289" s="11"/>
      <c r="L289" s="11"/>
      <c r="M289" s="11">
        <v>154.9</v>
      </c>
      <c r="N289" s="11"/>
      <c r="O289">
        <f t="shared" si="4"/>
        <v>154.9</v>
      </c>
    </row>
    <row r="290" spans="1:15" x14ac:dyDescent="0.35">
      <c r="A290" s="2">
        <v>43443</v>
      </c>
      <c r="B290" s="3" t="s">
        <v>411</v>
      </c>
      <c r="C290" s="3" t="s">
        <v>15</v>
      </c>
      <c r="D290" s="3" t="s">
        <v>11</v>
      </c>
      <c r="E290" s="3" t="s">
        <v>20</v>
      </c>
      <c r="F290" s="3" t="s">
        <v>21</v>
      </c>
      <c r="G290" s="3">
        <v>65.34</v>
      </c>
      <c r="J290" s="3" t="s">
        <v>264</v>
      </c>
      <c r="K290" s="11"/>
      <c r="L290" s="11"/>
      <c r="M290" s="11">
        <v>44.43</v>
      </c>
      <c r="N290" s="11"/>
      <c r="O290">
        <f t="shared" si="4"/>
        <v>44.43</v>
      </c>
    </row>
    <row r="291" spans="1:15" x14ac:dyDescent="0.35">
      <c r="A291" s="2">
        <v>43443</v>
      </c>
      <c r="B291" s="3" t="s">
        <v>411</v>
      </c>
      <c r="C291" s="3" t="s">
        <v>15</v>
      </c>
      <c r="D291" s="3" t="s">
        <v>11</v>
      </c>
      <c r="E291" s="3" t="s">
        <v>20</v>
      </c>
      <c r="F291" s="3" t="s">
        <v>21</v>
      </c>
      <c r="G291" s="3">
        <v>35.1</v>
      </c>
      <c r="J291" s="3" t="s">
        <v>351</v>
      </c>
      <c r="K291" s="11">
        <v>4.3559999999999999</v>
      </c>
      <c r="L291" s="11"/>
      <c r="M291" s="11"/>
      <c r="N291" s="11">
        <v>715.64</v>
      </c>
      <c r="O291">
        <f t="shared" si="4"/>
        <v>359.99799999999999</v>
      </c>
    </row>
    <row r="292" spans="1:15" x14ac:dyDescent="0.35">
      <c r="A292" s="2">
        <v>43444</v>
      </c>
      <c r="B292" s="3" t="s">
        <v>229</v>
      </c>
      <c r="C292" s="3" t="s">
        <v>10</v>
      </c>
      <c r="D292" s="3" t="s">
        <v>49</v>
      </c>
      <c r="E292" s="3" t="s">
        <v>50</v>
      </c>
      <c r="F292" s="3" t="s">
        <v>51</v>
      </c>
      <c r="G292" s="3">
        <v>387.13600000000002</v>
      </c>
      <c r="J292" s="3" t="s">
        <v>258</v>
      </c>
      <c r="K292" s="11"/>
      <c r="L292" s="11"/>
      <c r="M292" s="11"/>
      <c r="N292" s="11">
        <v>1640.7</v>
      </c>
      <c r="O292">
        <f t="shared" si="4"/>
        <v>1640.7</v>
      </c>
    </row>
    <row r="293" spans="1:15" x14ac:dyDescent="0.35">
      <c r="A293" s="2">
        <v>43444</v>
      </c>
      <c r="B293" s="3" t="s">
        <v>169</v>
      </c>
      <c r="C293" s="3" t="s">
        <v>15</v>
      </c>
      <c r="D293" s="3" t="s">
        <v>11</v>
      </c>
      <c r="E293" s="3" t="s">
        <v>38</v>
      </c>
      <c r="F293" s="3" t="s">
        <v>412</v>
      </c>
      <c r="G293" s="3">
        <v>83.42</v>
      </c>
      <c r="J293" s="3" t="s">
        <v>427</v>
      </c>
      <c r="K293" s="11">
        <v>58.17</v>
      </c>
      <c r="L293" s="11">
        <v>1958.5440000000001</v>
      </c>
      <c r="M293" s="11"/>
      <c r="N293" s="11"/>
      <c r="O293">
        <f t="shared" si="4"/>
        <v>1008.3570000000001</v>
      </c>
    </row>
    <row r="294" spans="1:15" x14ac:dyDescent="0.35">
      <c r="A294" s="2">
        <v>43444</v>
      </c>
      <c r="B294" s="3" t="s">
        <v>413</v>
      </c>
      <c r="C294" s="3" t="s">
        <v>10</v>
      </c>
      <c r="D294" s="3" t="s">
        <v>49</v>
      </c>
      <c r="E294" s="3" t="s">
        <v>50</v>
      </c>
      <c r="F294" s="3" t="s">
        <v>13</v>
      </c>
      <c r="G294" s="3">
        <v>73.536000000000001</v>
      </c>
      <c r="J294" s="3" t="s">
        <v>498</v>
      </c>
      <c r="K294" s="11">
        <v>137.62</v>
      </c>
      <c r="L294" s="11"/>
      <c r="M294" s="11"/>
      <c r="N294" s="11"/>
      <c r="O294">
        <f t="shared" si="4"/>
        <v>137.62</v>
      </c>
    </row>
    <row r="295" spans="1:15" x14ac:dyDescent="0.35">
      <c r="A295" s="2">
        <v>43445</v>
      </c>
      <c r="B295" s="3" t="s">
        <v>315</v>
      </c>
      <c r="C295" s="3" t="s">
        <v>15</v>
      </c>
      <c r="D295" s="3" t="s">
        <v>11</v>
      </c>
      <c r="E295" s="3" t="s">
        <v>38</v>
      </c>
      <c r="F295" s="3" t="s">
        <v>339</v>
      </c>
      <c r="G295" s="3">
        <v>56.52</v>
      </c>
      <c r="J295" s="3" t="s">
        <v>476</v>
      </c>
      <c r="K295" s="11"/>
      <c r="L295" s="11">
        <v>281.33999999999997</v>
      </c>
      <c r="M295" s="11"/>
      <c r="N295" s="11"/>
      <c r="O295">
        <f t="shared" si="4"/>
        <v>281.33999999999997</v>
      </c>
    </row>
    <row r="296" spans="1:15" x14ac:dyDescent="0.35">
      <c r="A296" s="2">
        <v>43448</v>
      </c>
      <c r="B296" s="3" t="s">
        <v>414</v>
      </c>
      <c r="C296" s="3" t="s">
        <v>44</v>
      </c>
      <c r="D296" s="3" t="s">
        <v>11</v>
      </c>
      <c r="E296" s="3" t="s">
        <v>12</v>
      </c>
      <c r="F296" s="3" t="s">
        <v>13</v>
      </c>
      <c r="G296" s="3">
        <v>87.168000000000006</v>
      </c>
      <c r="J296" s="3" t="s">
        <v>561</v>
      </c>
      <c r="K296" s="11">
        <v>67.84</v>
      </c>
      <c r="L296" s="11"/>
      <c r="M296" s="11"/>
      <c r="N296" s="11"/>
      <c r="O296">
        <f t="shared" si="4"/>
        <v>67.84</v>
      </c>
    </row>
    <row r="297" spans="1:15" x14ac:dyDescent="0.35">
      <c r="A297" s="2">
        <v>43449</v>
      </c>
      <c r="B297" s="3" t="s">
        <v>116</v>
      </c>
      <c r="C297" s="3" t="s">
        <v>15</v>
      </c>
      <c r="D297" s="3" t="s">
        <v>28</v>
      </c>
      <c r="E297" s="3" t="s">
        <v>90</v>
      </c>
      <c r="F297" s="3" t="s">
        <v>415</v>
      </c>
      <c r="G297" s="3">
        <v>34.944000000000003</v>
      </c>
      <c r="J297" s="3" t="s">
        <v>338</v>
      </c>
      <c r="K297" s="11"/>
      <c r="L297" s="11"/>
      <c r="M297" s="11"/>
      <c r="N297" s="11">
        <v>21.78</v>
      </c>
      <c r="O297">
        <f t="shared" si="4"/>
        <v>21.78</v>
      </c>
    </row>
    <row r="298" spans="1:15" x14ac:dyDescent="0.35">
      <c r="A298" s="2">
        <v>43451</v>
      </c>
      <c r="B298" s="3" t="s">
        <v>416</v>
      </c>
      <c r="C298" s="3" t="s">
        <v>10</v>
      </c>
      <c r="D298" s="3" t="s">
        <v>28</v>
      </c>
      <c r="E298" s="3" t="s">
        <v>107</v>
      </c>
      <c r="F298" s="3" t="s">
        <v>417</v>
      </c>
      <c r="G298" s="3">
        <v>194.52799999999999</v>
      </c>
      <c r="J298" s="3" t="s">
        <v>315</v>
      </c>
      <c r="K298" s="11"/>
      <c r="L298" s="11">
        <v>35.909999999999997</v>
      </c>
      <c r="M298" s="11">
        <v>203.92</v>
      </c>
      <c r="N298" s="11">
        <v>56.52</v>
      </c>
      <c r="O298">
        <f t="shared" si="4"/>
        <v>98.783333333333317</v>
      </c>
    </row>
    <row r="299" spans="1:15" x14ac:dyDescent="0.35">
      <c r="A299" s="2">
        <v>43459</v>
      </c>
      <c r="B299" s="3" t="s">
        <v>418</v>
      </c>
      <c r="C299" s="3" t="s">
        <v>10</v>
      </c>
      <c r="D299" s="3" t="s">
        <v>11</v>
      </c>
      <c r="E299" s="3" t="s">
        <v>81</v>
      </c>
      <c r="F299" s="3" t="s">
        <v>93</v>
      </c>
      <c r="G299" s="3">
        <v>18.72</v>
      </c>
      <c r="J299" s="3" t="s">
        <v>251</v>
      </c>
      <c r="K299" s="11"/>
      <c r="L299" s="11"/>
      <c r="M299" s="11"/>
      <c r="N299" s="11">
        <v>186.15</v>
      </c>
      <c r="O299">
        <f t="shared" si="4"/>
        <v>186.15</v>
      </c>
    </row>
    <row r="300" spans="1:15" x14ac:dyDescent="0.35">
      <c r="A300" s="2">
        <v>43459</v>
      </c>
      <c r="B300" s="3" t="s">
        <v>419</v>
      </c>
      <c r="C300" s="3" t="s">
        <v>10</v>
      </c>
      <c r="D300" s="3" t="s">
        <v>11</v>
      </c>
      <c r="E300" s="3" t="s">
        <v>38</v>
      </c>
      <c r="F300" s="3" t="s">
        <v>45</v>
      </c>
      <c r="G300" s="3">
        <v>7.9</v>
      </c>
      <c r="J300" s="3" t="s">
        <v>157</v>
      </c>
      <c r="K300" s="11"/>
      <c r="L300" s="11"/>
      <c r="M300" s="11">
        <v>675.12</v>
      </c>
      <c r="N300" s="11"/>
      <c r="O300">
        <f t="shared" si="4"/>
        <v>675.12</v>
      </c>
    </row>
    <row r="301" spans="1:15" x14ac:dyDescent="0.35">
      <c r="A301" s="2">
        <v>43459</v>
      </c>
      <c r="B301" s="3" t="s">
        <v>275</v>
      </c>
      <c r="C301" s="3" t="s">
        <v>10</v>
      </c>
      <c r="D301" s="3" t="s">
        <v>49</v>
      </c>
      <c r="E301" s="3" t="s">
        <v>117</v>
      </c>
      <c r="F301" s="3" t="s">
        <v>420</v>
      </c>
      <c r="G301" s="3">
        <v>26.49</v>
      </c>
      <c r="J301" s="3" t="s">
        <v>213</v>
      </c>
      <c r="K301" s="11">
        <v>8.6519999999999992</v>
      </c>
      <c r="L301" s="11"/>
      <c r="M301" s="11"/>
      <c r="N301" s="11"/>
      <c r="O301">
        <f t="shared" si="4"/>
        <v>8.6519999999999992</v>
      </c>
    </row>
    <row r="302" spans="1:15" x14ac:dyDescent="0.35">
      <c r="A302" s="2">
        <v>43462</v>
      </c>
      <c r="B302" s="3" t="s">
        <v>421</v>
      </c>
      <c r="C302" s="3" t="s">
        <v>15</v>
      </c>
      <c r="D302" s="3" t="s">
        <v>16</v>
      </c>
      <c r="E302" s="3" t="s">
        <v>422</v>
      </c>
      <c r="F302" s="3" t="s">
        <v>423</v>
      </c>
      <c r="G302" s="3">
        <v>81.96</v>
      </c>
      <c r="J302" s="3" t="s">
        <v>418</v>
      </c>
      <c r="K302" s="11"/>
      <c r="L302" s="11"/>
      <c r="M302" s="11"/>
      <c r="N302" s="11">
        <v>18.72</v>
      </c>
      <c r="O302">
        <f t="shared" si="4"/>
        <v>18.72</v>
      </c>
    </row>
    <row r="303" spans="1:15" x14ac:dyDescent="0.35">
      <c r="A303" s="2">
        <v>43465</v>
      </c>
      <c r="B303" s="3" t="s">
        <v>424</v>
      </c>
      <c r="C303" s="3" t="s">
        <v>15</v>
      </c>
      <c r="D303" s="3" t="s">
        <v>16</v>
      </c>
      <c r="E303" s="3" t="s">
        <v>23</v>
      </c>
      <c r="F303" s="3" t="s">
        <v>425</v>
      </c>
      <c r="G303" s="3">
        <v>15.224</v>
      </c>
      <c r="J303" s="3" t="s">
        <v>467</v>
      </c>
      <c r="K303" s="11"/>
      <c r="L303" s="11">
        <v>121.94</v>
      </c>
      <c r="M303" s="11"/>
      <c r="N303" s="11"/>
      <c r="O303">
        <f t="shared" si="4"/>
        <v>121.94</v>
      </c>
    </row>
    <row r="304" spans="1:15" x14ac:dyDescent="0.35">
      <c r="A304" s="2">
        <v>43466</v>
      </c>
      <c r="B304" s="3" t="s">
        <v>210</v>
      </c>
      <c r="C304" s="3" t="s">
        <v>15</v>
      </c>
      <c r="D304" s="3" t="s">
        <v>16</v>
      </c>
      <c r="E304" s="3" t="s">
        <v>23</v>
      </c>
      <c r="F304" s="3" t="s">
        <v>426</v>
      </c>
      <c r="G304" s="3">
        <v>5.4320000000000004</v>
      </c>
      <c r="J304" s="3" t="s">
        <v>25</v>
      </c>
      <c r="K304" s="11">
        <v>176.77199999999999</v>
      </c>
      <c r="L304" s="11"/>
      <c r="M304" s="11"/>
      <c r="N304" s="11"/>
      <c r="O304">
        <f t="shared" si="4"/>
        <v>176.77199999999999</v>
      </c>
    </row>
    <row r="305" spans="1:15" x14ac:dyDescent="0.35">
      <c r="A305" s="2">
        <v>43479</v>
      </c>
      <c r="B305" s="3" t="s">
        <v>427</v>
      </c>
      <c r="C305" s="3" t="s">
        <v>15</v>
      </c>
      <c r="D305" s="3" t="s">
        <v>49</v>
      </c>
      <c r="E305" s="3" t="s">
        <v>77</v>
      </c>
      <c r="F305" s="3" t="s">
        <v>78</v>
      </c>
      <c r="G305" s="3">
        <v>34.384</v>
      </c>
      <c r="J305" s="3" t="s">
        <v>399</v>
      </c>
      <c r="K305" s="11"/>
      <c r="L305" s="11"/>
      <c r="M305" s="11">
        <v>42.384</v>
      </c>
      <c r="N305" s="11"/>
      <c r="O305">
        <f t="shared" si="4"/>
        <v>42.384</v>
      </c>
    </row>
    <row r="306" spans="1:15" x14ac:dyDescent="0.35">
      <c r="A306" s="2">
        <v>43479</v>
      </c>
      <c r="B306" s="3" t="s">
        <v>427</v>
      </c>
      <c r="C306" s="3" t="s">
        <v>15</v>
      </c>
      <c r="D306" s="3" t="s">
        <v>49</v>
      </c>
      <c r="E306" s="3" t="s">
        <v>77</v>
      </c>
      <c r="F306" s="3" t="s">
        <v>78</v>
      </c>
      <c r="G306" s="3">
        <v>1924.16</v>
      </c>
      <c r="J306" s="3" t="s">
        <v>116</v>
      </c>
      <c r="K306" s="11"/>
      <c r="L306" s="11">
        <v>81.92</v>
      </c>
      <c r="M306" s="11">
        <v>34.944000000000003</v>
      </c>
      <c r="N306" s="11"/>
      <c r="O306">
        <f t="shared" si="4"/>
        <v>58.432000000000002</v>
      </c>
    </row>
    <row r="307" spans="1:15" x14ac:dyDescent="0.35">
      <c r="A307" s="2">
        <v>43483</v>
      </c>
      <c r="B307" s="3" t="s">
        <v>428</v>
      </c>
      <c r="C307" s="3" t="s">
        <v>15</v>
      </c>
      <c r="D307" s="3" t="s">
        <v>49</v>
      </c>
      <c r="E307" s="3" t="s">
        <v>429</v>
      </c>
      <c r="F307" s="3" t="s">
        <v>430</v>
      </c>
      <c r="G307" s="3">
        <v>542.94000000000005</v>
      </c>
      <c r="J307" s="3" t="s">
        <v>585</v>
      </c>
      <c r="K307" s="11">
        <v>839.43</v>
      </c>
      <c r="L307" s="11"/>
      <c r="M307" s="11"/>
      <c r="N307" s="11"/>
      <c r="O307">
        <f t="shared" si="4"/>
        <v>839.43</v>
      </c>
    </row>
    <row r="308" spans="1:15" x14ac:dyDescent="0.35">
      <c r="A308" s="2">
        <v>43488</v>
      </c>
      <c r="B308" s="3" t="s">
        <v>372</v>
      </c>
      <c r="C308" s="3" t="s">
        <v>10</v>
      </c>
      <c r="D308" s="3" t="s">
        <v>11</v>
      </c>
      <c r="E308" s="3" t="s">
        <v>38</v>
      </c>
      <c r="F308" s="3" t="s">
        <v>373</v>
      </c>
      <c r="G308" s="3">
        <v>25.86</v>
      </c>
      <c r="J308" s="3" t="s">
        <v>201</v>
      </c>
      <c r="K308" s="11"/>
      <c r="L308" s="11">
        <v>406.6</v>
      </c>
      <c r="M308" s="11"/>
      <c r="N308" s="11"/>
      <c r="O308">
        <f t="shared" si="4"/>
        <v>406.6</v>
      </c>
    </row>
    <row r="309" spans="1:15" x14ac:dyDescent="0.35">
      <c r="A309" s="2">
        <v>43497</v>
      </c>
      <c r="B309" s="3" t="s">
        <v>431</v>
      </c>
      <c r="C309" s="3" t="s">
        <v>15</v>
      </c>
      <c r="D309" s="3" t="s">
        <v>11</v>
      </c>
      <c r="E309" s="3" t="s">
        <v>38</v>
      </c>
      <c r="F309" s="3" t="s">
        <v>45</v>
      </c>
      <c r="G309" s="3">
        <v>46.8</v>
      </c>
      <c r="J309" s="3" t="s">
        <v>158</v>
      </c>
      <c r="K309" s="11">
        <v>34.176000000000002</v>
      </c>
      <c r="L309" s="11"/>
      <c r="M309" s="11"/>
      <c r="N309" s="11"/>
      <c r="O309">
        <f t="shared" si="4"/>
        <v>34.176000000000002</v>
      </c>
    </row>
    <row r="310" spans="1:15" x14ac:dyDescent="0.35">
      <c r="A310" s="2">
        <v>43499</v>
      </c>
      <c r="B310" s="3" t="s">
        <v>432</v>
      </c>
      <c r="C310" s="3" t="s">
        <v>15</v>
      </c>
      <c r="D310" s="3" t="s">
        <v>49</v>
      </c>
      <c r="E310" s="3" t="s">
        <v>54</v>
      </c>
      <c r="F310" s="3" t="s">
        <v>433</v>
      </c>
      <c r="G310" s="3">
        <v>32.67</v>
      </c>
      <c r="J310" s="3" t="s">
        <v>171</v>
      </c>
      <c r="K310" s="11">
        <v>267.93</v>
      </c>
      <c r="L310" s="11"/>
      <c r="M310" s="11"/>
      <c r="N310" s="11"/>
      <c r="O310">
        <f t="shared" si="4"/>
        <v>267.93</v>
      </c>
    </row>
    <row r="311" spans="1:15" x14ac:dyDescent="0.35">
      <c r="A311" s="2">
        <v>43500</v>
      </c>
      <c r="B311" s="3" t="s">
        <v>434</v>
      </c>
      <c r="C311" s="3" t="s">
        <v>10</v>
      </c>
      <c r="D311" s="3" t="s">
        <v>11</v>
      </c>
      <c r="E311" s="3" t="s">
        <v>38</v>
      </c>
      <c r="F311" s="3" t="s">
        <v>435</v>
      </c>
      <c r="G311" s="3">
        <v>1640.7</v>
      </c>
      <c r="J311" s="3" t="s">
        <v>461</v>
      </c>
      <c r="K311" s="11">
        <v>33.619999999999997</v>
      </c>
      <c r="L311" s="11"/>
      <c r="M311" s="11"/>
      <c r="N311" s="11"/>
      <c r="O311">
        <f t="shared" si="4"/>
        <v>33.619999999999997</v>
      </c>
    </row>
    <row r="312" spans="1:15" x14ac:dyDescent="0.35">
      <c r="A312" s="2">
        <v>43504</v>
      </c>
      <c r="B312" s="3" t="s">
        <v>436</v>
      </c>
      <c r="C312" s="3" t="s">
        <v>15</v>
      </c>
      <c r="D312" s="3" t="s">
        <v>16</v>
      </c>
      <c r="E312" s="3" t="s">
        <v>23</v>
      </c>
      <c r="F312" s="3" t="s">
        <v>26</v>
      </c>
      <c r="G312" s="3">
        <v>12.992000000000001</v>
      </c>
      <c r="J312" s="3" t="s">
        <v>394</v>
      </c>
      <c r="K312" s="11"/>
      <c r="L312" s="11">
        <v>103.968</v>
      </c>
      <c r="M312" s="11"/>
      <c r="N312" s="11"/>
      <c r="O312">
        <f t="shared" si="4"/>
        <v>103.968</v>
      </c>
    </row>
    <row r="313" spans="1:15" x14ac:dyDescent="0.35">
      <c r="A313" s="2">
        <v>43508</v>
      </c>
      <c r="B313" s="3" t="s">
        <v>437</v>
      </c>
      <c r="C313" s="3" t="s">
        <v>15</v>
      </c>
      <c r="D313" s="3" t="s">
        <v>16</v>
      </c>
      <c r="E313" s="3" t="s">
        <v>32</v>
      </c>
      <c r="F313" s="3" t="s">
        <v>438</v>
      </c>
      <c r="G313" s="3">
        <v>90.64</v>
      </c>
      <c r="J313" s="3" t="s">
        <v>451</v>
      </c>
      <c r="K313" s="11"/>
      <c r="L313" s="11">
        <v>465.16</v>
      </c>
      <c r="M313" s="11"/>
      <c r="N313" s="11"/>
      <c r="O313">
        <f t="shared" si="4"/>
        <v>465.16</v>
      </c>
    </row>
    <row r="314" spans="1:15" x14ac:dyDescent="0.35">
      <c r="A314" s="2">
        <v>43514</v>
      </c>
      <c r="B314" s="3" t="s">
        <v>439</v>
      </c>
      <c r="C314" s="3" t="s">
        <v>10</v>
      </c>
      <c r="D314" s="3" t="s">
        <v>28</v>
      </c>
      <c r="E314" s="3" t="s">
        <v>41</v>
      </c>
      <c r="F314" s="3" t="s">
        <v>440</v>
      </c>
      <c r="G314" s="3">
        <v>1245.8599999999999</v>
      </c>
      <c r="J314" s="3" t="s">
        <v>520</v>
      </c>
      <c r="K314" s="11"/>
      <c r="L314" s="11"/>
      <c r="M314" s="11">
        <v>195.68</v>
      </c>
      <c r="N314" s="11"/>
      <c r="O314">
        <f t="shared" si="4"/>
        <v>195.68</v>
      </c>
    </row>
    <row r="315" spans="1:15" x14ac:dyDescent="0.35">
      <c r="A315" s="2">
        <v>43515</v>
      </c>
      <c r="B315" s="3" t="s">
        <v>441</v>
      </c>
      <c r="C315" s="3" t="s">
        <v>44</v>
      </c>
      <c r="D315" s="3" t="s">
        <v>16</v>
      </c>
      <c r="E315" s="3" t="s">
        <v>74</v>
      </c>
      <c r="F315" s="3" t="s">
        <v>442</v>
      </c>
      <c r="G315" s="3">
        <v>13.11</v>
      </c>
      <c r="J315" s="3" t="s">
        <v>246</v>
      </c>
      <c r="K315" s="11"/>
      <c r="L315" s="11"/>
      <c r="M315" s="11"/>
      <c r="N315" s="11">
        <v>1158.1199999999999</v>
      </c>
      <c r="O315">
        <f t="shared" si="4"/>
        <v>1158.1199999999999</v>
      </c>
    </row>
    <row r="316" spans="1:15" x14ac:dyDescent="0.35">
      <c r="A316" s="2">
        <v>43521</v>
      </c>
      <c r="B316" s="3" t="s">
        <v>443</v>
      </c>
      <c r="C316" s="3" t="s">
        <v>44</v>
      </c>
      <c r="D316" s="3" t="s">
        <v>11</v>
      </c>
      <c r="E316" s="3" t="s">
        <v>38</v>
      </c>
      <c r="F316" s="3" t="s">
        <v>45</v>
      </c>
      <c r="G316" s="3">
        <v>81.92</v>
      </c>
      <c r="J316" s="3" t="s">
        <v>163</v>
      </c>
      <c r="K316" s="11"/>
      <c r="L316" s="11"/>
      <c r="M316" s="11"/>
      <c r="N316" s="11">
        <v>43.68</v>
      </c>
      <c r="O316">
        <f t="shared" si="4"/>
        <v>43.68</v>
      </c>
    </row>
    <row r="317" spans="1:15" x14ac:dyDescent="0.35">
      <c r="A317" s="2">
        <v>43521</v>
      </c>
      <c r="B317" s="3" t="s">
        <v>112</v>
      </c>
      <c r="C317" s="3" t="s">
        <v>15</v>
      </c>
      <c r="D317" s="3" t="s">
        <v>11</v>
      </c>
      <c r="E317" s="3" t="s">
        <v>38</v>
      </c>
      <c r="F317" s="3" t="s">
        <v>444</v>
      </c>
      <c r="G317" s="3">
        <v>356.79</v>
      </c>
      <c r="J317" s="3" t="s">
        <v>214</v>
      </c>
      <c r="K317" s="11">
        <v>186.732</v>
      </c>
      <c r="L317" s="11"/>
      <c r="M317" s="11"/>
      <c r="N317" s="11"/>
      <c r="O317">
        <f t="shared" si="4"/>
        <v>186.732</v>
      </c>
    </row>
    <row r="318" spans="1:15" x14ac:dyDescent="0.35">
      <c r="A318" s="2">
        <v>43526</v>
      </c>
      <c r="B318" s="3" t="s">
        <v>445</v>
      </c>
      <c r="C318" s="3" t="s">
        <v>15</v>
      </c>
      <c r="D318" s="3" t="s">
        <v>28</v>
      </c>
      <c r="E318" s="3" t="s">
        <v>29</v>
      </c>
      <c r="F318" s="3" t="s">
        <v>446</v>
      </c>
      <c r="G318" s="3">
        <v>72.8</v>
      </c>
      <c r="J318" s="3" t="s">
        <v>466</v>
      </c>
      <c r="K318" s="11">
        <v>97.263999999999996</v>
      </c>
      <c r="L318" s="11"/>
      <c r="M318" s="11"/>
      <c r="N318" s="11"/>
      <c r="O318">
        <f t="shared" si="4"/>
        <v>97.263999999999996</v>
      </c>
    </row>
    <row r="319" spans="1:15" x14ac:dyDescent="0.35">
      <c r="A319" s="2">
        <v>43528</v>
      </c>
      <c r="B319" s="3" t="s">
        <v>447</v>
      </c>
      <c r="C319" s="3" t="s">
        <v>10</v>
      </c>
      <c r="D319" s="3" t="s">
        <v>28</v>
      </c>
      <c r="E319" s="3" t="s">
        <v>35</v>
      </c>
      <c r="F319" s="3" t="s">
        <v>448</v>
      </c>
      <c r="G319" s="3">
        <v>262.24</v>
      </c>
      <c r="J319" s="3" t="s">
        <v>83</v>
      </c>
      <c r="K319" s="11"/>
      <c r="L319" s="11">
        <v>39.479999999999997</v>
      </c>
      <c r="M319" s="11"/>
      <c r="N319" s="11"/>
      <c r="O319">
        <f t="shared" si="4"/>
        <v>39.479999999999997</v>
      </c>
    </row>
    <row r="320" spans="1:15" x14ac:dyDescent="0.35">
      <c r="A320" s="2">
        <v>43531</v>
      </c>
      <c r="B320" s="3" t="s">
        <v>401</v>
      </c>
      <c r="C320" s="3" t="s">
        <v>10</v>
      </c>
      <c r="D320" s="3" t="s">
        <v>28</v>
      </c>
      <c r="E320" s="3" t="s">
        <v>41</v>
      </c>
      <c r="F320" s="3" t="s">
        <v>51</v>
      </c>
      <c r="G320" s="3">
        <v>647.84</v>
      </c>
      <c r="J320" s="3" t="s">
        <v>512</v>
      </c>
      <c r="K320" s="11"/>
      <c r="L320" s="11"/>
      <c r="M320" s="11">
        <v>14.336</v>
      </c>
      <c r="N320" s="11"/>
      <c r="O320">
        <f t="shared" si="4"/>
        <v>14.336</v>
      </c>
    </row>
    <row r="321" spans="1:15" x14ac:dyDescent="0.35">
      <c r="A321" s="2">
        <v>43533</v>
      </c>
      <c r="B321" s="3" t="s">
        <v>449</v>
      </c>
      <c r="C321" s="3" t="s">
        <v>10</v>
      </c>
      <c r="D321" s="3" t="s">
        <v>28</v>
      </c>
      <c r="E321" s="3" t="s">
        <v>90</v>
      </c>
      <c r="F321" s="3" t="s">
        <v>450</v>
      </c>
      <c r="G321" s="3">
        <v>48.783999999999999</v>
      </c>
      <c r="J321" s="3" t="s">
        <v>316</v>
      </c>
      <c r="K321" s="11">
        <v>48.792000000000002</v>
      </c>
      <c r="L321" s="11"/>
      <c r="M321" s="11"/>
      <c r="N321" s="11"/>
      <c r="O321">
        <f t="shared" si="4"/>
        <v>48.792000000000002</v>
      </c>
    </row>
    <row r="322" spans="1:15" x14ac:dyDescent="0.35">
      <c r="A322" s="2">
        <v>43536</v>
      </c>
      <c r="B322" s="3" t="s">
        <v>451</v>
      </c>
      <c r="C322" s="3" t="s">
        <v>15</v>
      </c>
      <c r="D322" s="3" t="s">
        <v>49</v>
      </c>
      <c r="E322" s="3" t="s">
        <v>100</v>
      </c>
      <c r="F322" s="3" t="s">
        <v>139</v>
      </c>
      <c r="G322" s="3">
        <v>465.16</v>
      </c>
      <c r="J322" s="3" t="s">
        <v>243</v>
      </c>
      <c r="K322" s="11"/>
      <c r="L322" s="11">
        <v>111.04</v>
      </c>
      <c r="M322" s="11"/>
      <c r="N322" s="11"/>
      <c r="O322">
        <f t="shared" si="4"/>
        <v>111.04</v>
      </c>
    </row>
    <row r="323" spans="1:15" x14ac:dyDescent="0.35">
      <c r="A323" s="2">
        <v>43539</v>
      </c>
      <c r="B323" s="3" t="s">
        <v>452</v>
      </c>
      <c r="C323" s="3" t="s">
        <v>10</v>
      </c>
      <c r="D323" s="3" t="s">
        <v>11</v>
      </c>
      <c r="E323" s="3" t="s">
        <v>38</v>
      </c>
      <c r="F323" s="3" t="s">
        <v>45</v>
      </c>
      <c r="G323" s="3">
        <v>140.66999999999999</v>
      </c>
      <c r="J323" s="3" t="s">
        <v>114</v>
      </c>
      <c r="K323" s="11"/>
      <c r="L323" s="11">
        <v>16.78</v>
      </c>
      <c r="M323" s="11"/>
      <c r="N323" s="11"/>
      <c r="O323">
        <f t="shared" si="4"/>
        <v>16.78</v>
      </c>
    </row>
    <row r="324" spans="1:15" x14ac:dyDescent="0.35">
      <c r="A324" s="2">
        <v>43541</v>
      </c>
      <c r="B324" s="3" t="s">
        <v>453</v>
      </c>
      <c r="C324" s="3" t="s">
        <v>15</v>
      </c>
      <c r="D324" s="3" t="s">
        <v>16</v>
      </c>
      <c r="E324" s="3" t="s">
        <v>23</v>
      </c>
      <c r="F324" s="3" t="s">
        <v>454</v>
      </c>
      <c r="G324" s="3">
        <v>2.6880000000000002</v>
      </c>
      <c r="J324" s="3" t="s">
        <v>304</v>
      </c>
      <c r="K324" s="11">
        <v>207.14400000000001</v>
      </c>
      <c r="L324" s="11"/>
      <c r="M324" s="11"/>
      <c r="N324" s="11"/>
      <c r="O324">
        <f t="shared" si="4"/>
        <v>207.14400000000001</v>
      </c>
    </row>
    <row r="325" spans="1:15" x14ac:dyDescent="0.35">
      <c r="A325" s="2">
        <v>43541</v>
      </c>
      <c r="B325" s="3" t="s">
        <v>455</v>
      </c>
      <c r="C325" s="3" t="s">
        <v>10</v>
      </c>
      <c r="D325" s="3" t="s">
        <v>11</v>
      </c>
      <c r="E325" s="3" t="s">
        <v>38</v>
      </c>
      <c r="F325" s="3" t="s">
        <v>45</v>
      </c>
      <c r="G325" s="3">
        <v>90.86</v>
      </c>
      <c r="J325" s="3" t="s">
        <v>413</v>
      </c>
      <c r="K325" s="11">
        <v>37.207999999999998</v>
      </c>
      <c r="L325" s="11">
        <v>73.536000000000001</v>
      </c>
      <c r="M325" s="11"/>
      <c r="N325" s="11"/>
      <c r="O325">
        <f t="shared" si="4"/>
        <v>55.372</v>
      </c>
    </row>
    <row r="326" spans="1:15" x14ac:dyDescent="0.35">
      <c r="A326" s="2">
        <v>43542</v>
      </c>
      <c r="B326" s="3" t="s">
        <v>456</v>
      </c>
      <c r="C326" s="3" t="s">
        <v>10</v>
      </c>
      <c r="D326" s="3" t="s">
        <v>11</v>
      </c>
      <c r="E326" s="3" t="s">
        <v>38</v>
      </c>
      <c r="F326" s="3" t="s">
        <v>45</v>
      </c>
      <c r="G326" s="3">
        <v>381.36</v>
      </c>
      <c r="J326" s="3" t="s">
        <v>376</v>
      </c>
      <c r="K326" s="11"/>
      <c r="L326" s="11"/>
      <c r="M326" s="11"/>
      <c r="N326" s="11">
        <v>236.88</v>
      </c>
      <c r="O326">
        <f t="shared" ref="O326:O358" si="5">AVERAGE(K326:N326)</f>
        <v>236.88</v>
      </c>
    </row>
    <row r="327" spans="1:15" x14ac:dyDescent="0.35">
      <c r="A327" s="2">
        <v>43544</v>
      </c>
      <c r="B327" s="3" t="s">
        <v>457</v>
      </c>
      <c r="C327" s="3" t="s">
        <v>10</v>
      </c>
      <c r="D327" s="3" t="s">
        <v>28</v>
      </c>
      <c r="E327" s="3" t="s">
        <v>107</v>
      </c>
      <c r="F327" s="3" t="s">
        <v>458</v>
      </c>
      <c r="G327" s="3">
        <v>64.384</v>
      </c>
      <c r="J327" s="3" t="s">
        <v>333</v>
      </c>
      <c r="K327" s="11"/>
      <c r="L327" s="11">
        <v>453.6</v>
      </c>
      <c r="M327" s="11">
        <v>208.16</v>
      </c>
      <c r="N327" s="11"/>
      <c r="O327">
        <f t="shared" si="5"/>
        <v>330.88</v>
      </c>
    </row>
    <row r="328" spans="1:15" x14ac:dyDescent="0.35">
      <c r="A328" s="2">
        <v>43548</v>
      </c>
      <c r="B328" s="3" t="s">
        <v>459</v>
      </c>
      <c r="C328" s="3" t="s">
        <v>15</v>
      </c>
      <c r="D328" s="3" t="s">
        <v>11</v>
      </c>
      <c r="E328" s="3" t="s">
        <v>38</v>
      </c>
      <c r="F328" s="3" t="s">
        <v>162</v>
      </c>
      <c r="G328" s="3">
        <v>176.04</v>
      </c>
      <c r="J328" s="3" t="s">
        <v>216</v>
      </c>
      <c r="K328" s="11"/>
      <c r="L328" s="11">
        <v>41.896000000000001</v>
      </c>
      <c r="M328" s="11"/>
      <c r="N328" s="11"/>
      <c r="O328">
        <f t="shared" si="5"/>
        <v>41.896000000000001</v>
      </c>
    </row>
    <row r="329" spans="1:15" x14ac:dyDescent="0.35">
      <c r="A329" s="2">
        <v>43549</v>
      </c>
      <c r="B329" s="3" t="s">
        <v>460</v>
      </c>
      <c r="C329" s="3" t="s">
        <v>10</v>
      </c>
      <c r="D329" s="3" t="s">
        <v>16</v>
      </c>
      <c r="E329" s="3" t="s">
        <v>23</v>
      </c>
      <c r="F329" s="3" t="s">
        <v>26</v>
      </c>
      <c r="G329" s="3">
        <v>87.168000000000006</v>
      </c>
      <c r="J329" s="3" t="s">
        <v>392</v>
      </c>
      <c r="K329" s="11">
        <v>23.992000000000001</v>
      </c>
      <c r="L329" s="11">
        <v>110.096</v>
      </c>
      <c r="M329" s="11"/>
      <c r="N329" s="11"/>
      <c r="O329">
        <f t="shared" si="5"/>
        <v>67.043999999999997</v>
      </c>
    </row>
    <row r="330" spans="1:15" x14ac:dyDescent="0.35">
      <c r="A330" s="2">
        <v>43554</v>
      </c>
      <c r="B330" s="3" t="s">
        <v>461</v>
      </c>
      <c r="C330" s="3" t="s">
        <v>10</v>
      </c>
      <c r="D330" s="3" t="s">
        <v>16</v>
      </c>
      <c r="E330" s="3" t="s">
        <v>23</v>
      </c>
      <c r="F330" s="3" t="s">
        <v>290</v>
      </c>
      <c r="G330" s="3">
        <v>33.619999999999997</v>
      </c>
      <c r="J330" s="3" t="s">
        <v>572</v>
      </c>
      <c r="K330" s="11"/>
      <c r="L330" s="11">
        <v>254.9</v>
      </c>
      <c r="M330" s="11"/>
      <c r="N330" s="11"/>
      <c r="O330">
        <f t="shared" si="5"/>
        <v>254.9</v>
      </c>
    </row>
    <row r="331" spans="1:15" x14ac:dyDescent="0.35">
      <c r="A331" s="2">
        <v>43555</v>
      </c>
      <c r="B331" s="3" t="s">
        <v>462</v>
      </c>
      <c r="C331" s="3" t="s">
        <v>10</v>
      </c>
      <c r="D331" s="3" t="s">
        <v>28</v>
      </c>
      <c r="E331" s="3" t="s">
        <v>107</v>
      </c>
      <c r="F331" s="3" t="s">
        <v>190</v>
      </c>
      <c r="G331" s="3">
        <v>20.808</v>
      </c>
      <c r="J331" s="3" t="s">
        <v>280</v>
      </c>
      <c r="K331" s="11">
        <v>555.21</v>
      </c>
      <c r="L331" s="11"/>
      <c r="M331" s="11"/>
      <c r="N331" s="11"/>
      <c r="O331">
        <f t="shared" si="5"/>
        <v>555.21</v>
      </c>
    </row>
    <row r="332" spans="1:15" x14ac:dyDescent="0.35">
      <c r="A332" s="2">
        <v>43562</v>
      </c>
      <c r="B332" s="3" t="s">
        <v>463</v>
      </c>
      <c r="C332" s="3" t="s">
        <v>44</v>
      </c>
      <c r="D332" s="3" t="s">
        <v>49</v>
      </c>
      <c r="E332" s="3" t="s">
        <v>117</v>
      </c>
      <c r="F332" s="3" t="s">
        <v>464</v>
      </c>
      <c r="G332" s="3">
        <v>41.95</v>
      </c>
      <c r="J332" s="3" t="s">
        <v>234</v>
      </c>
      <c r="K332" s="11">
        <v>5.7679999999999998</v>
      </c>
      <c r="L332" s="11"/>
      <c r="M332" s="11"/>
      <c r="N332" s="11"/>
      <c r="O332">
        <f t="shared" si="5"/>
        <v>5.7679999999999998</v>
      </c>
    </row>
    <row r="333" spans="1:15" x14ac:dyDescent="0.35">
      <c r="A333" s="2">
        <v>43564</v>
      </c>
      <c r="B333" s="3" t="s">
        <v>92</v>
      </c>
      <c r="C333" s="3" t="s">
        <v>15</v>
      </c>
      <c r="D333" s="3" t="s">
        <v>49</v>
      </c>
      <c r="E333" s="3" t="s">
        <v>77</v>
      </c>
      <c r="F333" s="3" t="s">
        <v>78</v>
      </c>
      <c r="G333" s="3">
        <v>195.10400000000001</v>
      </c>
      <c r="J333" s="3" t="s">
        <v>306</v>
      </c>
      <c r="K333" s="11"/>
      <c r="L333" s="11"/>
      <c r="M333" s="11"/>
      <c r="N333" s="11">
        <v>157.91999999999999</v>
      </c>
      <c r="O333">
        <f t="shared" si="5"/>
        <v>157.91999999999999</v>
      </c>
    </row>
    <row r="334" spans="1:15" x14ac:dyDescent="0.35">
      <c r="A334" s="2">
        <v>43570</v>
      </c>
      <c r="B334" s="3" t="s">
        <v>465</v>
      </c>
      <c r="C334" s="3" t="s">
        <v>44</v>
      </c>
      <c r="D334" s="3" t="s">
        <v>11</v>
      </c>
      <c r="E334" s="3" t="s">
        <v>38</v>
      </c>
      <c r="F334" s="3" t="s">
        <v>39</v>
      </c>
      <c r="G334" s="3">
        <v>40.74</v>
      </c>
      <c r="J334" s="3" t="s">
        <v>317</v>
      </c>
      <c r="K334" s="11"/>
      <c r="L334" s="11"/>
      <c r="M334" s="11"/>
      <c r="N334" s="11">
        <v>78.272000000000006</v>
      </c>
      <c r="O334">
        <f t="shared" si="5"/>
        <v>78.272000000000006</v>
      </c>
    </row>
    <row r="335" spans="1:15" x14ac:dyDescent="0.35">
      <c r="A335" s="2">
        <v>43575</v>
      </c>
      <c r="B335" s="3" t="s">
        <v>466</v>
      </c>
      <c r="C335" s="3" t="s">
        <v>15</v>
      </c>
      <c r="D335" s="3" t="s">
        <v>16</v>
      </c>
      <c r="E335" s="3" t="s">
        <v>23</v>
      </c>
      <c r="F335" s="3" t="s">
        <v>26</v>
      </c>
      <c r="G335" s="3">
        <v>97.263999999999996</v>
      </c>
      <c r="J335" s="3" t="s">
        <v>540</v>
      </c>
      <c r="K335" s="11"/>
      <c r="L335" s="11">
        <v>20.135999999999999</v>
      </c>
      <c r="M335" s="11"/>
      <c r="N335" s="11"/>
      <c r="O335">
        <f t="shared" si="5"/>
        <v>20.135999999999999</v>
      </c>
    </row>
    <row r="336" spans="1:15" x14ac:dyDescent="0.35">
      <c r="A336" s="2">
        <v>43577</v>
      </c>
      <c r="B336" s="3" t="s">
        <v>467</v>
      </c>
      <c r="C336" s="3" t="s">
        <v>15</v>
      </c>
      <c r="D336" s="3" t="s">
        <v>49</v>
      </c>
      <c r="E336" s="3" t="s">
        <v>54</v>
      </c>
      <c r="F336" s="3" t="s">
        <v>63</v>
      </c>
      <c r="G336" s="3">
        <v>121.94</v>
      </c>
      <c r="J336" s="3" t="s">
        <v>203</v>
      </c>
      <c r="K336" s="11"/>
      <c r="L336" s="11"/>
      <c r="M336" s="11"/>
      <c r="N336" s="11">
        <v>35.207999999999998</v>
      </c>
      <c r="O336">
        <f t="shared" si="5"/>
        <v>35.207999999999998</v>
      </c>
    </row>
    <row r="337" spans="1:15" x14ac:dyDescent="0.35">
      <c r="A337" s="2">
        <v>43578</v>
      </c>
      <c r="B337" s="3" t="s">
        <v>468</v>
      </c>
      <c r="C337" s="3" t="s">
        <v>10</v>
      </c>
      <c r="D337" s="3" t="s">
        <v>49</v>
      </c>
      <c r="E337" s="3" t="s">
        <v>77</v>
      </c>
      <c r="F337" s="3" t="s">
        <v>78</v>
      </c>
      <c r="G337" s="3">
        <v>99.28</v>
      </c>
      <c r="J337" s="3" t="s">
        <v>204</v>
      </c>
      <c r="K337" s="11"/>
      <c r="L337" s="11">
        <v>45.216000000000001</v>
      </c>
      <c r="M337" s="11"/>
      <c r="N337" s="11"/>
      <c r="O337">
        <f t="shared" si="5"/>
        <v>45.216000000000001</v>
      </c>
    </row>
    <row r="338" spans="1:15" x14ac:dyDescent="0.35">
      <c r="A338" s="2">
        <v>43582</v>
      </c>
      <c r="B338" s="3" t="s">
        <v>469</v>
      </c>
      <c r="C338" s="3" t="s">
        <v>15</v>
      </c>
      <c r="D338" s="3" t="s">
        <v>28</v>
      </c>
      <c r="E338" s="3" t="s">
        <v>90</v>
      </c>
      <c r="F338" s="3" t="s">
        <v>470</v>
      </c>
      <c r="G338" s="3">
        <v>28.08</v>
      </c>
      <c r="J338" s="3" t="s">
        <v>156</v>
      </c>
      <c r="K338" s="11">
        <v>20.388000000000002</v>
      </c>
      <c r="L338" s="11"/>
      <c r="M338" s="11">
        <v>76.608000000000004</v>
      </c>
      <c r="N338" s="11">
        <v>287.39999999999998</v>
      </c>
      <c r="O338">
        <f t="shared" si="5"/>
        <v>128.13199999999998</v>
      </c>
    </row>
    <row r="339" spans="1:15" x14ac:dyDescent="0.35">
      <c r="A339" s="2">
        <v>43590</v>
      </c>
      <c r="B339" s="3" t="s">
        <v>210</v>
      </c>
      <c r="C339" s="3" t="s">
        <v>15</v>
      </c>
      <c r="D339" s="3" t="s">
        <v>11</v>
      </c>
      <c r="E339" s="3" t="s">
        <v>38</v>
      </c>
      <c r="F339" s="3" t="s">
        <v>471</v>
      </c>
      <c r="G339" s="3">
        <v>152.94</v>
      </c>
      <c r="J339" s="3" t="s">
        <v>260</v>
      </c>
      <c r="K339" s="11"/>
      <c r="L339" s="11"/>
      <c r="M339" s="11">
        <v>182.91</v>
      </c>
      <c r="N339" s="11"/>
      <c r="O339">
        <f t="shared" si="5"/>
        <v>182.91</v>
      </c>
    </row>
    <row r="340" spans="1:15" x14ac:dyDescent="0.35">
      <c r="A340" s="2">
        <v>43591</v>
      </c>
      <c r="B340" s="3" t="s">
        <v>247</v>
      </c>
      <c r="C340" s="3" t="s">
        <v>10</v>
      </c>
      <c r="D340" s="3" t="s">
        <v>16</v>
      </c>
      <c r="E340" s="3" t="s">
        <v>17</v>
      </c>
      <c r="F340" s="3" t="s">
        <v>70</v>
      </c>
      <c r="G340" s="3">
        <v>87.444000000000003</v>
      </c>
      <c r="J340" s="3" t="s">
        <v>173</v>
      </c>
      <c r="K340" s="11"/>
      <c r="L340" s="11">
        <v>91.367999999999995</v>
      </c>
      <c r="M340" s="11"/>
      <c r="N340" s="11"/>
      <c r="O340">
        <f t="shared" si="5"/>
        <v>91.367999999999995</v>
      </c>
    </row>
    <row r="341" spans="1:15" x14ac:dyDescent="0.35">
      <c r="A341" s="2">
        <v>43592</v>
      </c>
      <c r="B341" s="3" t="s">
        <v>472</v>
      </c>
      <c r="C341" s="3" t="s">
        <v>15</v>
      </c>
      <c r="D341" s="3" t="s">
        <v>11</v>
      </c>
      <c r="E341" s="3" t="s">
        <v>38</v>
      </c>
      <c r="F341" s="3" t="s">
        <v>39</v>
      </c>
      <c r="G341" s="3">
        <v>81.08</v>
      </c>
      <c r="J341" s="3" t="s">
        <v>379</v>
      </c>
      <c r="K341" s="11">
        <v>54.96</v>
      </c>
      <c r="L341" s="11">
        <v>61.44</v>
      </c>
      <c r="M341" s="11"/>
      <c r="N341" s="11"/>
      <c r="O341">
        <f t="shared" si="5"/>
        <v>58.2</v>
      </c>
    </row>
    <row r="342" spans="1:15" x14ac:dyDescent="0.35">
      <c r="A342" s="2">
        <v>43596</v>
      </c>
      <c r="B342" s="3" t="s">
        <v>473</v>
      </c>
      <c r="C342" s="3" t="s">
        <v>10</v>
      </c>
      <c r="D342" s="3" t="s">
        <v>11</v>
      </c>
      <c r="E342" s="3" t="s">
        <v>38</v>
      </c>
      <c r="F342" s="3" t="s">
        <v>39</v>
      </c>
      <c r="G342" s="3">
        <v>7.77</v>
      </c>
      <c r="J342" s="3" t="s">
        <v>79</v>
      </c>
      <c r="K342" s="11"/>
      <c r="L342" s="11">
        <v>59.7</v>
      </c>
      <c r="M342" s="11"/>
      <c r="N342" s="11"/>
      <c r="O342">
        <f t="shared" si="5"/>
        <v>59.7</v>
      </c>
    </row>
    <row r="343" spans="1:15" x14ac:dyDescent="0.35">
      <c r="A343" s="2">
        <v>43597</v>
      </c>
      <c r="B343" s="3" t="s">
        <v>390</v>
      </c>
      <c r="C343" s="3" t="s">
        <v>10</v>
      </c>
      <c r="D343" s="3" t="s">
        <v>28</v>
      </c>
      <c r="E343" s="3" t="s">
        <v>136</v>
      </c>
      <c r="F343" s="3" t="s">
        <v>405</v>
      </c>
      <c r="G343" s="3">
        <v>20.768000000000001</v>
      </c>
      <c r="J343" s="3" t="s">
        <v>474</v>
      </c>
      <c r="K343" s="11"/>
      <c r="L343" s="11"/>
      <c r="M343" s="11">
        <v>17.239999999999998</v>
      </c>
      <c r="N343" s="11"/>
      <c r="O343">
        <f t="shared" si="5"/>
        <v>17.239999999999998</v>
      </c>
    </row>
    <row r="344" spans="1:15" x14ac:dyDescent="0.35">
      <c r="A344" s="2">
        <v>43602</v>
      </c>
      <c r="B344" s="3" t="s">
        <v>474</v>
      </c>
      <c r="C344" s="3" t="s">
        <v>10</v>
      </c>
      <c r="D344" s="3" t="s">
        <v>28</v>
      </c>
      <c r="E344" s="3" t="s">
        <v>41</v>
      </c>
      <c r="F344" s="3" t="s">
        <v>475</v>
      </c>
      <c r="G344" s="3">
        <v>17.239999999999998</v>
      </c>
      <c r="J344" s="3" t="s">
        <v>436</v>
      </c>
      <c r="K344" s="11">
        <v>12.992000000000001</v>
      </c>
      <c r="L344" s="11"/>
      <c r="M344" s="11"/>
      <c r="N344" s="11"/>
      <c r="O344">
        <f t="shared" si="5"/>
        <v>12.992000000000001</v>
      </c>
    </row>
    <row r="345" spans="1:15" x14ac:dyDescent="0.35">
      <c r="A345" s="2">
        <v>43602</v>
      </c>
      <c r="B345" s="3" t="s">
        <v>386</v>
      </c>
      <c r="C345" s="3" t="s">
        <v>44</v>
      </c>
      <c r="D345" s="3" t="s">
        <v>16</v>
      </c>
      <c r="E345" s="3" t="s">
        <v>320</v>
      </c>
      <c r="F345" s="3" t="s">
        <v>13</v>
      </c>
      <c r="G345" s="3">
        <v>706.86</v>
      </c>
      <c r="J345" s="3" t="s">
        <v>212</v>
      </c>
      <c r="K345" s="11"/>
      <c r="L345" s="11"/>
      <c r="M345" s="11"/>
      <c r="N345" s="11">
        <v>43.56</v>
      </c>
      <c r="O345">
        <f t="shared" si="5"/>
        <v>43.56</v>
      </c>
    </row>
    <row r="346" spans="1:15" x14ac:dyDescent="0.35">
      <c r="A346" s="2">
        <v>43603</v>
      </c>
      <c r="B346" s="3" t="s">
        <v>277</v>
      </c>
      <c r="C346" s="3" t="s">
        <v>15</v>
      </c>
      <c r="D346" s="3" t="s">
        <v>11</v>
      </c>
      <c r="E346" s="3" t="s">
        <v>20</v>
      </c>
      <c r="F346" s="3" t="s">
        <v>21</v>
      </c>
      <c r="G346" s="3">
        <v>97.16</v>
      </c>
      <c r="J346" s="3" t="s">
        <v>167</v>
      </c>
      <c r="K346" s="11"/>
      <c r="L346" s="11">
        <v>286.25599999999997</v>
      </c>
      <c r="M346" s="11">
        <v>43.512</v>
      </c>
      <c r="N346" s="11"/>
      <c r="O346">
        <f t="shared" si="5"/>
        <v>164.88399999999999</v>
      </c>
    </row>
    <row r="347" spans="1:15" x14ac:dyDescent="0.35">
      <c r="A347" s="2">
        <v>43603</v>
      </c>
      <c r="B347" s="3" t="s">
        <v>476</v>
      </c>
      <c r="C347" s="3" t="s">
        <v>10</v>
      </c>
      <c r="D347" s="3" t="s">
        <v>49</v>
      </c>
      <c r="E347" s="3" t="s">
        <v>54</v>
      </c>
      <c r="F347" s="3" t="s">
        <v>477</v>
      </c>
      <c r="G347" s="3">
        <v>281.33999999999997</v>
      </c>
      <c r="J347" s="3" t="s">
        <v>145</v>
      </c>
      <c r="K347" s="11"/>
      <c r="L347" s="11">
        <v>121.792</v>
      </c>
      <c r="M347" s="11"/>
      <c r="N347" s="11"/>
      <c r="O347">
        <f t="shared" si="5"/>
        <v>121.792</v>
      </c>
    </row>
    <row r="348" spans="1:15" x14ac:dyDescent="0.35">
      <c r="A348" s="2">
        <v>43604</v>
      </c>
      <c r="B348" s="3" t="s">
        <v>478</v>
      </c>
      <c r="C348" s="3" t="s">
        <v>15</v>
      </c>
      <c r="D348" s="3" t="s">
        <v>11</v>
      </c>
      <c r="E348" s="3" t="s">
        <v>271</v>
      </c>
      <c r="F348" s="3" t="s">
        <v>272</v>
      </c>
      <c r="G348" s="3">
        <v>64.900000000000006</v>
      </c>
      <c r="J348" s="3" t="s">
        <v>395</v>
      </c>
      <c r="K348" s="11"/>
      <c r="L348" s="11"/>
      <c r="M348" s="11"/>
      <c r="N348" s="11">
        <v>67.84</v>
      </c>
      <c r="O348">
        <f t="shared" si="5"/>
        <v>67.84</v>
      </c>
    </row>
    <row r="349" spans="1:15" x14ac:dyDescent="0.35">
      <c r="A349" s="2">
        <v>43607</v>
      </c>
      <c r="B349" s="3" t="s">
        <v>352</v>
      </c>
      <c r="C349" s="3" t="s">
        <v>15</v>
      </c>
      <c r="D349" s="3" t="s">
        <v>16</v>
      </c>
      <c r="E349" s="3" t="s">
        <v>23</v>
      </c>
      <c r="F349" s="3" t="s">
        <v>26</v>
      </c>
      <c r="G349" s="3">
        <v>18.32</v>
      </c>
      <c r="J349" s="3" t="s">
        <v>228</v>
      </c>
      <c r="K349" s="11"/>
      <c r="L349" s="11">
        <v>68.94</v>
      </c>
      <c r="M349" s="11"/>
      <c r="N349" s="11"/>
      <c r="O349">
        <f t="shared" si="5"/>
        <v>68.94</v>
      </c>
    </row>
    <row r="350" spans="1:15" x14ac:dyDescent="0.35">
      <c r="A350" s="2">
        <v>43610</v>
      </c>
      <c r="B350" s="3" t="s">
        <v>479</v>
      </c>
      <c r="C350" s="3" t="s">
        <v>10</v>
      </c>
      <c r="D350" s="3" t="s">
        <v>28</v>
      </c>
      <c r="E350" s="3" t="s">
        <v>29</v>
      </c>
      <c r="F350" s="3" t="s">
        <v>480</v>
      </c>
      <c r="G350" s="3">
        <v>208.44</v>
      </c>
      <c r="J350" s="3" t="s">
        <v>210</v>
      </c>
      <c r="K350" s="11">
        <v>277.83199999999999</v>
      </c>
      <c r="L350" s="11"/>
      <c r="M350" s="11"/>
      <c r="N350" s="11">
        <v>152.94</v>
      </c>
      <c r="O350">
        <f t="shared" si="5"/>
        <v>215.386</v>
      </c>
    </row>
    <row r="351" spans="1:15" x14ac:dyDescent="0.35">
      <c r="A351" s="2">
        <v>43612</v>
      </c>
      <c r="B351" s="3" t="s">
        <v>481</v>
      </c>
      <c r="C351" s="3" t="s">
        <v>10</v>
      </c>
      <c r="D351" s="3" t="s">
        <v>49</v>
      </c>
      <c r="E351" s="3" t="s">
        <v>230</v>
      </c>
      <c r="F351" s="3" t="s">
        <v>482</v>
      </c>
      <c r="G351" s="3">
        <v>125.13</v>
      </c>
      <c r="J351" s="3" t="s">
        <v>94</v>
      </c>
      <c r="K351" s="11"/>
      <c r="L351" s="11"/>
      <c r="M351" s="11">
        <v>387.13600000000002</v>
      </c>
      <c r="N351" s="11">
        <v>1089.75</v>
      </c>
      <c r="O351">
        <f t="shared" si="5"/>
        <v>738.44299999999998</v>
      </c>
    </row>
    <row r="352" spans="1:15" x14ac:dyDescent="0.35">
      <c r="A352" s="2">
        <v>43613</v>
      </c>
      <c r="B352" s="3" t="s">
        <v>483</v>
      </c>
      <c r="C352" s="3" t="s">
        <v>15</v>
      </c>
      <c r="D352" s="3" t="s">
        <v>16</v>
      </c>
      <c r="E352" s="3" t="s">
        <v>172</v>
      </c>
      <c r="F352" s="3" t="s">
        <v>51</v>
      </c>
      <c r="G352" s="3">
        <v>465.16</v>
      </c>
      <c r="J352" s="3" t="s">
        <v>197</v>
      </c>
      <c r="K352" s="11"/>
      <c r="L352" s="11">
        <v>98.111999999999995</v>
      </c>
      <c r="M352" s="11"/>
      <c r="N352" s="11"/>
      <c r="O352">
        <f t="shared" si="5"/>
        <v>98.111999999999995</v>
      </c>
    </row>
    <row r="353" spans="1:15" x14ac:dyDescent="0.35">
      <c r="A353" s="2">
        <v>43616</v>
      </c>
      <c r="B353" s="3" t="s">
        <v>312</v>
      </c>
      <c r="C353" s="3" t="s">
        <v>10</v>
      </c>
      <c r="D353" s="3" t="s">
        <v>49</v>
      </c>
      <c r="E353" s="3" t="s">
        <v>50</v>
      </c>
      <c r="F353" s="3" t="s">
        <v>205</v>
      </c>
      <c r="G353" s="3">
        <v>17.48</v>
      </c>
      <c r="J353" s="3" t="s">
        <v>401</v>
      </c>
      <c r="K353" s="11">
        <v>167.292</v>
      </c>
      <c r="L353" s="11"/>
      <c r="M353" s="11">
        <v>647.84</v>
      </c>
      <c r="N353" s="11"/>
      <c r="O353">
        <f t="shared" si="5"/>
        <v>407.56600000000003</v>
      </c>
    </row>
    <row r="354" spans="1:15" x14ac:dyDescent="0.35">
      <c r="A354" s="2">
        <v>43618</v>
      </c>
      <c r="B354" s="3" t="s">
        <v>484</v>
      </c>
      <c r="C354" s="3" t="s">
        <v>15</v>
      </c>
      <c r="D354" s="3" t="s">
        <v>28</v>
      </c>
      <c r="E354" s="3" t="s">
        <v>107</v>
      </c>
      <c r="F354" s="3" t="s">
        <v>485</v>
      </c>
      <c r="G354" s="3">
        <v>5.2</v>
      </c>
      <c r="J354" s="3" t="s">
        <v>323</v>
      </c>
      <c r="K354" s="11"/>
      <c r="L354" s="11"/>
      <c r="M354" s="11"/>
      <c r="N354" s="11">
        <v>8.67</v>
      </c>
      <c r="O354">
        <f t="shared" si="5"/>
        <v>8.67</v>
      </c>
    </row>
    <row r="355" spans="1:15" x14ac:dyDescent="0.35">
      <c r="A355" s="2">
        <v>43618</v>
      </c>
      <c r="B355" s="3" t="s">
        <v>484</v>
      </c>
      <c r="C355" s="3" t="s">
        <v>15</v>
      </c>
      <c r="D355" s="3" t="s">
        <v>28</v>
      </c>
      <c r="E355" s="3" t="s">
        <v>107</v>
      </c>
      <c r="F355" s="3" t="s">
        <v>485</v>
      </c>
      <c r="G355" s="3">
        <v>24.472000000000001</v>
      </c>
      <c r="J355" s="3" t="s">
        <v>169</v>
      </c>
      <c r="K355" s="11">
        <v>19.431999999999999</v>
      </c>
      <c r="L355" s="11"/>
      <c r="M355" s="11"/>
      <c r="N355" s="11">
        <v>216.892</v>
      </c>
      <c r="O355">
        <f t="shared" si="5"/>
        <v>118.16199999999999</v>
      </c>
    </row>
    <row r="356" spans="1:15" x14ac:dyDescent="0.35">
      <c r="A356" s="2">
        <v>43623</v>
      </c>
      <c r="B356" s="3" t="s">
        <v>486</v>
      </c>
      <c r="C356" s="3" t="s">
        <v>10</v>
      </c>
      <c r="D356" s="3" t="s">
        <v>16</v>
      </c>
      <c r="E356" s="3" t="s">
        <v>23</v>
      </c>
      <c r="F356" s="3" t="s">
        <v>339</v>
      </c>
      <c r="G356" s="3">
        <v>1.6240000000000001</v>
      </c>
      <c r="J356" s="3" t="s">
        <v>14</v>
      </c>
      <c r="K356" s="11">
        <v>247.71600000000001</v>
      </c>
      <c r="L356" s="11"/>
      <c r="M356" s="11"/>
      <c r="N356" s="11">
        <v>43.32</v>
      </c>
      <c r="O356">
        <f t="shared" si="5"/>
        <v>145.518</v>
      </c>
    </row>
    <row r="357" spans="1:15" x14ac:dyDescent="0.35">
      <c r="A357" s="2">
        <v>43626</v>
      </c>
      <c r="B357" s="3" t="s">
        <v>487</v>
      </c>
      <c r="C357" s="3" t="s">
        <v>15</v>
      </c>
      <c r="D357" s="3" t="s">
        <v>11</v>
      </c>
      <c r="E357" s="3" t="s">
        <v>38</v>
      </c>
      <c r="F357" s="3" t="s">
        <v>45</v>
      </c>
      <c r="G357" s="3">
        <v>61.44</v>
      </c>
      <c r="J357" s="3" t="s">
        <v>141</v>
      </c>
      <c r="K357" s="11">
        <v>2.7079999999999997</v>
      </c>
      <c r="L357" s="11"/>
      <c r="M357" s="11"/>
      <c r="N357" s="11">
        <v>213.92</v>
      </c>
      <c r="O357">
        <f t="shared" si="5"/>
        <v>108.31399999999999</v>
      </c>
    </row>
    <row r="358" spans="1:15" x14ac:dyDescent="0.35">
      <c r="A358" s="2">
        <v>43630</v>
      </c>
      <c r="B358" s="3" t="s">
        <v>156</v>
      </c>
      <c r="C358" s="3" t="s">
        <v>10</v>
      </c>
      <c r="D358" s="3" t="s">
        <v>28</v>
      </c>
      <c r="E358" s="3" t="s">
        <v>136</v>
      </c>
      <c r="F358" s="3" t="s">
        <v>488</v>
      </c>
      <c r="G358" s="3">
        <v>76.608000000000004</v>
      </c>
      <c r="J358" s="3" t="s">
        <v>487</v>
      </c>
      <c r="K358" s="11"/>
      <c r="L358" s="11"/>
      <c r="M358" s="11"/>
      <c r="N358" s="11">
        <v>61.44</v>
      </c>
      <c r="O358">
        <f t="shared" si="5"/>
        <v>61.44</v>
      </c>
    </row>
    <row r="359" spans="1:15" x14ac:dyDescent="0.35">
      <c r="A359" s="2">
        <v>43631</v>
      </c>
      <c r="B359" s="3" t="s">
        <v>217</v>
      </c>
      <c r="C359" s="3" t="s">
        <v>15</v>
      </c>
      <c r="D359" s="3" t="s">
        <v>28</v>
      </c>
      <c r="E359" s="3" t="s">
        <v>29</v>
      </c>
      <c r="F359" s="3" t="s">
        <v>489</v>
      </c>
      <c r="G359" s="3">
        <v>180.66</v>
      </c>
      <c r="J359"/>
      <c r="K359"/>
      <c r="L359"/>
      <c r="M359"/>
      <c r="N359"/>
      <c r="O359"/>
    </row>
    <row r="360" spans="1:15" x14ac:dyDescent="0.35">
      <c r="A360" s="2">
        <v>43634</v>
      </c>
      <c r="B360" s="3" t="s">
        <v>141</v>
      </c>
      <c r="C360" s="3" t="s">
        <v>15</v>
      </c>
      <c r="D360" s="3" t="s">
        <v>16</v>
      </c>
      <c r="E360" s="3" t="s">
        <v>23</v>
      </c>
      <c r="F360" s="3" t="s">
        <v>26</v>
      </c>
      <c r="G360" s="3">
        <v>2.2639999999999998</v>
      </c>
    </row>
    <row r="361" spans="1:15" x14ac:dyDescent="0.35">
      <c r="A361" s="2">
        <v>43634</v>
      </c>
      <c r="B361" s="3" t="s">
        <v>141</v>
      </c>
      <c r="C361" s="3" t="s">
        <v>15</v>
      </c>
      <c r="D361" s="3" t="s">
        <v>16</v>
      </c>
      <c r="E361" s="3" t="s">
        <v>23</v>
      </c>
      <c r="F361" s="3" t="s">
        <v>26</v>
      </c>
      <c r="G361" s="3">
        <v>0.44400000000000001</v>
      </c>
    </row>
    <row r="362" spans="1:15" x14ac:dyDescent="0.35">
      <c r="A362" s="2">
        <v>43644</v>
      </c>
      <c r="B362" s="3" t="s">
        <v>37</v>
      </c>
      <c r="C362" s="3" t="s">
        <v>15</v>
      </c>
      <c r="D362" s="3" t="s">
        <v>16</v>
      </c>
      <c r="E362" s="3" t="s">
        <v>32</v>
      </c>
      <c r="F362" s="3" t="s">
        <v>438</v>
      </c>
      <c r="G362" s="3">
        <v>362.94</v>
      </c>
    </row>
    <row r="363" spans="1:15" x14ac:dyDescent="0.35">
      <c r="A363" s="2">
        <v>43644</v>
      </c>
      <c r="B363" s="3" t="s">
        <v>359</v>
      </c>
      <c r="C363" s="3" t="s">
        <v>15</v>
      </c>
      <c r="D363" s="3" t="s">
        <v>16</v>
      </c>
      <c r="E363" s="3" t="s">
        <v>23</v>
      </c>
      <c r="F363" s="3" t="s">
        <v>24</v>
      </c>
      <c r="G363" s="3">
        <v>21.391999999999999</v>
      </c>
    </row>
    <row r="364" spans="1:15" x14ac:dyDescent="0.35">
      <c r="A364" s="2">
        <v>43654</v>
      </c>
      <c r="B364" s="3" t="s">
        <v>229</v>
      </c>
      <c r="C364" s="3" t="s">
        <v>10</v>
      </c>
      <c r="D364" s="3" t="s">
        <v>16</v>
      </c>
      <c r="E364" s="3" t="s">
        <v>65</v>
      </c>
      <c r="F364" s="3" t="s">
        <v>66</v>
      </c>
      <c r="G364" s="3">
        <v>58.463999999999999</v>
      </c>
    </row>
    <row r="365" spans="1:15" x14ac:dyDescent="0.35">
      <c r="A365" s="2">
        <v>43655</v>
      </c>
      <c r="B365" s="3" t="s">
        <v>490</v>
      </c>
      <c r="C365" s="3" t="s">
        <v>10</v>
      </c>
      <c r="D365" s="3" t="s">
        <v>28</v>
      </c>
      <c r="E365" s="3" t="s">
        <v>41</v>
      </c>
      <c r="F365" s="3" t="s">
        <v>51</v>
      </c>
      <c r="G365" s="3">
        <v>41.91</v>
      </c>
    </row>
    <row r="366" spans="1:15" x14ac:dyDescent="0.35">
      <c r="A366" s="2">
        <v>43656</v>
      </c>
      <c r="B366" s="3" t="s">
        <v>491</v>
      </c>
      <c r="C366" s="3" t="s">
        <v>10</v>
      </c>
      <c r="D366" s="3" t="s">
        <v>11</v>
      </c>
      <c r="E366" s="3" t="s">
        <v>38</v>
      </c>
      <c r="F366" s="3" t="s">
        <v>45</v>
      </c>
      <c r="G366" s="3">
        <v>168.1</v>
      </c>
    </row>
    <row r="367" spans="1:15" x14ac:dyDescent="0.35">
      <c r="A367" s="2">
        <v>43660</v>
      </c>
      <c r="B367" s="3" t="s">
        <v>99</v>
      </c>
      <c r="C367" s="3" t="s">
        <v>10</v>
      </c>
      <c r="D367" s="3" t="s">
        <v>28</v>
      </c>
      <c r="E367" s="3" t="s">
        <v>253</v>
      </c>
      <c r="F367" s="3" t="s">
        <v>492</v>
      </c>
      <c r="G367" s="3">
        <v>179.94</v>
      </c>
    </row>
    <row r="368" spans="1:15" x14ac:dyDescent="0.35">
      <c r="A368" s="2">
        <v>43665</v>
      </c>
      <c r="B368" s="3" t="s">
        <v>493</v>
      </c>
      <c r="C368" s="3" t="s">
        <v>10</v>
      </c>
      <c r="D368" s="3" t="s">
        <v>16</v>
      </c>
      <c r="E368" s="3" t="s">
        <v>494</v>
      </c>
      <c r="F368" s="3" t="s">
        <v>495</v>
      </c>
      <c r="G368" s="3">
        <v>416.32</v>
      </c>
    </row>
    <row r="369" spans="1:7" x14ac:dyDescent="0.35">
      <c r="A369" s="2">
        <v>43666</v>
      </c>
      <c r="B369" s="3" t="s">
        <v>496</v>
      </c>
      <c r="C369" s="3" t="s">
        <v>15</v>
      </c>
      <c r="D369" s="3" t="s">
        <v>49</v>
      </c>
      <c r="E369" s="3" t="s">
        <v>54</v>
      </c>
      <c r="F369" s="3" t="s">
        <v>63</v>
      </c>
      <c r="G369" s="3">
        <v>17.48</v>
      </c>
    </row>
    <row r="370" spans="1:7" x14ac:dyDescent="0.35">
      <c r="A370" s="2">
        <v>43674</v>
      </c>
      <c r="B370" s="3" t="s">
        <v>497</v>
      </c>
      <c r="C370" s="3" t="s">
        <v>15</v>
      </c>
      <c r="D370" s="3" t="s">
        <v>28</v>
      </c>
      <c r="E370" s="3" t="s">
        <v>90</v>
      </c>
      <c r="F370" s="3" t="s">
        <v>190</v>
      </c>
      <c r="G370" s="3">
        <v>34.847999999999999</v>
      </c>
    </row>
    <row r="371" spans="1:7" x14ac:dyDescent="0.35">
      <c r="A371" s="2">
        <v>43674</v>
      </c>
      <c r="B371" s="3" t="s">
        <v>498</v>
      </c>
      <c r="C371" s="3" t="s">
        <v>15</v>
      </c>
      <c r="D371" s="3" t="s">
        <v>16</v>
      </c>
      <c r="E371" s="3" t="s">
        <v>74</v>
      </c>
      <c r="F371" s="3" t="s">
        <v>380</v>
      </c>
      <c r="G371" s="3">
        <v>137.62</v>
      </c>
    </row>
    <row r="372" spans="1:7" x14ac:dyDescent="0.35">
      <c r="A372" s="2">
        <v>43676</v>
      </c>
      <c r="B372" s="3" t="s">
        <v>161</v>
      </c>
      <c r="C372" s="3" t="s">
        <v>10</v>
      </c>
      <c r="D372" s="3" t="s">
        <v>16</v>
      </c>
      <c r="E372" s="3" t="s">
        <v>151</v>
      </c>
      <c r="F372" s="3" t="s">
        <v>211</v>
      </c>
      <c r="G372" s="3">
        <v>155.88</v>
      </c>
    </row>
    <row r="373" spans="1:7" x14ac:dyDescent="0.35">
      <c r="A373" s="2">
        <v>43683</v>
      </c>
      <c r="B373" s="3" t="s">
        <v>499</v>
      </c>
      <c r="C373" s="3" t="s">
        <v>15</v>
      </c>
      <c r="D373" s="3" t="s">
        <v>11</v>
      </c>
      <c r="E373" s="3" t="s">
        <v>38</v>
      </c>
      <c r="F373" s="3" t="s">
        <v>500</v>
      </c>
      <c r="G373" s="3">
        <v>1473.1</v>
      </c>
    </row>
    <row r="374" spans="1:7" x14ac:dyDescent="0.35">
      <c r="A374" s="2">
        <v>43688</v>
      </c>
      <c r="B374" s="3" t="s">
        <v>111</v>
      </c>
      <c r="C374" s="3" t="s">
        <v>15</v>
      </c>
      <c r="D374" s="3" t="s">
        <v>11</v>
      </c>
      <c r="E374" s="3" t="s">
        <v>38</v>
      </c>
      <c r="F374" s="3" t="s">
        <v>501</v>
      </c>
      <c r="G374" s="3">
        <v>542.94000000000005</v>
      </c>
    </row>
    <row r="375" spans="1:7" x14ac:dyDescent="0.35">
      <c r="A375" s="2">
        <v>43689</v>
      </c>
      <c r="B375" s="3" t="s">
        <v>288</v>
      </c>
      <c r="C375" s="3" t="s">
        <v>15</v>
      </c>
      <c r="D375" s="3" t="s">
        <v>11</v>
      </c>
      <c r="E375" s="3" t="s">
        <v>38</v>
      </c>
      <c r="F375" s="3" t="s">
        <v>39</v>
      </c>
      <c r="G375" s="3">
        <v>83.79</v>
      </c>
    </row>
    <row r="376" spans="1:7" x14ac:dyDescent="0.35">
      <c r="A376" s="2">
        <v>43689</v>
      </c>
      <c r="B376" s="3" t="s">
        <v>502</v>
      </c>
      <c r="C376" s="3" t="s">
        <v>15</v>
      </c>
      <c r="D376" s="3" t="s">
        <v>28</v>
      </c>
      <c r="E376" s="3" t="s">
        <v>136</v>
      </c>
      <c r="F376" s="3" t="s">
        <v>503</v>
      </c>
      <c r="G376" s="3">
        <v>272.048</v>
      </c>
    </row>
    <row r="377" spans="1:7" x14ac:dyDescent="0.35">
      <c r="A377" s="2">
        <v>43691</v>
      </c>
      <c r="B377" s="3" t="s">
        <v>504</v>
      </c>
      <c r="C377" s="3" t="s">
        <v>15</v>
      </c>
      <c r="D377" s="3" t="s">
        <v>49</v>
      </c>
      <c r="E377" s="3" t="s">
        <v>117</v>
      </c>
      <c r="F377" s="3" t="s">
        <v>464</v>
      </c>
      <c r="G377" s="3">
        <v>97.84</v>
      </c>
    </row>
    <row r="378" spans="1:7" x14ac:dyDescent="0.35">
      <c r="A378" s="2">
        <v>43693</v>
      </c>
      <c r="B378" s="3" t="s">
        <v>505</v>
      </c>
      <c r="C378" s="3" t="s">
        <v>44</v>
      </c>
      <c r="D378" s="3" t="s">
        <v>16</v>
      </c>
      <c r="E378" s="3" t="s">
        <v>23</v>
      </c>
      <c r="F378" s="3" t="s">
        <v>26</v>
      </c>
      <c r="G378" s="3">
        <v>38.863999999999997</v>
      </c>
    </row>
    <row r="379" spans="1:7" x14ac:dyDescent="0.35">
      <c r="A379" s="2">
        <v>43693</v>
      </c>
      <c r="B379" s="3" t="s">
        <v>247</v>
      </c>
      <c r="C379" s="3" t="s">
        <v>10</v>
      </c>
      <c r="D379" s="3" t="s">
        <v>11</v>
      </c>
      <c r="E379" s="3" t="s">
        <v>38</v>
      </c>
      <c r="F379" s="3" t="s">
        <v>160</v>
      </c>
      <c r="G379" s="3">
        <v>2518.29</v>
      </c>
    </row>
    <row r="380" spans="1:7" x14ac:dyDescent="0.35">
      <c r="A380" s="2">
        <v>43697</v>
      </c>
      <c r="B380" s="3" t="s">
        <v>506</v>
      </c>
      <c r="C380" s="3" t="s">
        <v>15</v>
      </c>
      <c r="D380" s="3" t="s">
        <v>11</v>
      </c>
      <c r="E380" s="3" t="s">
        <v>38</v>
      </c>
      <c r="F380" s="3" t="s">
        <v>507</v>
      </c>
      <c r="G380" s="3">
        <v>203.52</v>
      </c>
    </row>
    <row r="381" spans="1:7" x14ac:dyDescent="0.35">
      <c r="A381" s="2">
        <v>43699</v>
      </c>
      <c r="B381" s="3" t="s">
        <v>508</v>
      </c>
      <c r="C381" s="3" t="s">
        <v>15</v>
      </c>
      <c r="D381" s="3" t="s">
        <v>28</v>
      </c>
      <c r="E381" s="3" t="s">
        <v>107</v>
      </c>
      <c r="F381" s="3" t="s">
        <v>509</v>
      </c>
      <c r="G381" s="3">
        <v>161.376</v>
      </c>
    </row>
    <row r="382" spans="1:7" x14ac:dyDescent="0.35">
      <c r="A382" s="2">
        <v>43700</v>
      </c>
      <c r="B382" s="3" t="s">
        <v>125</v>
      </c>
      <c r="C382" s="3" t="s">
        <v>15</v>
      </c>
      <c r="D382" s="3" t="s">
        <v>49</v>
      </c>
      <c r="E382" s="3" t="s">
        <v>50</v>
      </c>
      <c r="F382" s="3" t="s">
        <v>134</v>
      </c>
      <c r="G382" s="3">
        <v>646.27200000000005</v>
      </c>
    </row>
    <row r="383" spans="1:7" x14ac:dyDescent="0.35">
      <c r="A383" s="2">
        <v>43703</v>
      </c>
      <c r="B383" s="3" t="s">
        <v>510</v>
      </c>
      <c r="C383" s="3" t="s">
        <v>10</v>
      </c>
      <c r="D383" s="3" t="s">
        <v>11</v>
      </c>
      <c r="E383" s="3" t="s">
        <v>38</v>
      </c>
      <c r="F383" s="3" t="s">
        <v>511</v>
      </c>
      <c r="G383" s="3">
        <v>321.92</v>
      </c>
    </row>
    <row r="384" spans="1:7" x14ac:dyDescent="0.35">
      <c r="A384" s="2">
        <v>43703</v>
      </c>
      <c r="B384" s="3" t="s">
        <v>512</v>
      </c>
      <c r="C384" s="3" t="s">
        <v>15</v>
      </c>
      <c r="D384" s="3" t="s">
        <v>28</v>
      </c>
      <c r="E384" s="3" t="s">
        <v>107</v>
      </c>
      <c r="F384" s="3" t="s">
        <v>513</v>
      </c>
      <c r="G384" s="3">
        <v>14.336</v>
      </c>
    </row>
    <row r="385" spans="1:7" x14ac:dyDescent="0.35">
      <c r="A385" s="2">
        <v>43704</v>
      </c>
      <c r="B385" s="3" t="s">
        <v>514</v>
      </c>
      <c r="C385" s="3" t="s">
        <v>44</v>
      </c>
      <c r="D385" s="3" t="s">
        <v>16</v>
      </c>
      <c r="E385" s="3" t="s">
        <v>151</v>
      </c>
      <c r="F385" s="3" t="s">
        <v>211</v>
      </c>
      <c r="G385" s="3">
        <v>91.6</v>
      </c>
    </row>
    <row r="386" spans="1:7" x14ac:dyDescent="0.35">
      <c r="A386" s="2">
        <v>43707</v>
      </c>
      <c r="B386" s="3" t="s">
        <v>279</v>
      </c>
      <c r="C386" s="3" t="s">
        <v>15</v>
      </c>
      <c r="D386" s="3" t="s">
        <v>16</v>
      </c>
      <c r="E386" s="3" t="s">
        <v>172</v>
      </c>
      <c r="F386" s="3" t="s">
        <v>61</v>
      </c>
      <c r="G386" s="3">
        <v>638.73</v>
      </c>
    </row>
    <row r="387" spans="1:7" x14ac:dyDescent="0.35">
      <c r="A387" s="2">
        <v>43708</v>
      </c>
      <c r="B387" s="3" t="s">
        <v>247</v>
      </c>
      <c r="C387" s="3" t="s">
        <v>10</v>
      </c>
      <c r="D387" s="3" t="s">
        <v>11</v>
      </c>
      <c r="E387" s="3" t="s">
        <v>20</v>
      </c>
      <c r="F387" s="3" t="s">
        <v>21</v>
      </c>
      <c r="G387" s="3">
        <v>314.60000000000002</v>
      </c>
    </row>
    <row r="388" spans="1:7" x14ac:dyDescent="0.35">
      <c r="A388" s="2">
        <v>43709</v>
      </c>
      <c r="B388" s="3" t="s">
        <v>515</v>
      </c>
      <c r="C388" s="3" t="s">
        <v>10</v>
      </c>
      <c r="D388" s="3" t="s">
        <v>49</v>
      </c>
      <c r="E388" s="3" t="s">
        <v>54</v>
      </c>
      <c r="F388" s="3" t="s">
        <v>63</v>
      </c>
      <c r="G388" s="3">
        <v>12.98</v>
      </c>
    </row>
    <row r="389" spans="1:7" x14ac:dyDescent="0.35">
      <c r="A389" s="2">
        <v>43709</v>
      </c>
      <c r="B389" s="3" t="s">
        <v>516</v>
      </c>
      <c r="C389" s="3" t="s">
        <v>10</v>
      </c>
      <c r="D389" s="3" t="s">
        <v>16</v>
      </c>
      <c r="E389" s="3" t="s">
        <v>65</v>
      </c>
      <c r="F389" s="3" t="s">
        <v>66</v>
      </c>
      <c r="G389" s="3">
        <v>5.5880000000000001</v>
      </c>
    </row>
    <row r="390" spans="1:7" x14ac:dyDescent="0.35">
      <c r="A390" s="2">
        <v>43714</v>
      </c>
      <c r="B390" s="3" t="s">
        <v>138</v>
      </c>
      <c r="C390" s="3" t="s">
        <v>10</v>
      </c>
      <c r="D390" s="3" t="s">
        <v>28</v>
      </c>
      <c r="E390" s="3" t="s">
        <v>136</v>
      </c>
      <c r="F390" s="3" t="s">
        <v>488</v>
      </c>
      <c r="G390" s="3">
        <v>81.567999999999998</v>
      </c>
    </row>
    <row r="391" spans="1:7" x14ac:dyDescent="0.35">
      <c r="A391" s="2">
        <v>43716</v>
      </c>
      <c r="B391" s="3" t="s">
        <v>468</v>
      </c>
      <c r="C391" s="3" t="s">
        <v>10</v>
      </c>
      <c r="D391" s="3" t="s">
        <v>11</v>
      </c>
      <c r="E391" s="3" t="s">
        <v>12</v>
      </c>
      <c r="F391" s="3" t="s">
        <v>517</v>
      </c>
      <c r="G391" s="3">
        <v>11.176</v>
      </c>
    </row>
    <row r="392" spans="1:7" x14ac:dyDescent="0.35">
      <c r="A392" s="2">
        <v>43717</v>
      </c>
      <c r="B392" s="3" t="s">
        <v>427</v>
      </c>
      <c r="C392" s="3" t="s">
        <v>15</v>
      </c>
      <c r="D392" s="3" t="s">
        <v>16</v>
      </c>
      <c r="E392" s="3" t="s">
        <v>320</v>
      </c>
      <c r="F392" s="3" t="s">
        <v>13</v>
      </c>
      <c r="G392" s="3">
        <v>33.99</v>
      </c>
    </row>
    <row r="393" spans="1:7" x14ac:dyDescent="0.35">
      <c r="A393" s="2">
        <v>43717</v>
      </c>
      <c r="B393" s="3" t="s">
        <v>427</v>
      </c>
      <c r="C393" s="3" t="s">
        <v>15</v>
      </c>
      <c r="D393" s="3" t="s">
        <v>16</v>
      </c>
      <c r="E393" s="3" t="s">
        <v>320</v>
      </c>
      <c r="F393" s="3" t="s">
        <v>13</v>
      </c>
      <c r="G393" s="3">
        <v>24.18</v>
      </c>
    </row>
    <row r="394" spans="1:7" x14ac:dyDescent="0.35">
      <c r="A394" s="2">
        <v>43718</v>
      </c>
      <c r="B394" s="3" t="s">
        <v>518</v>
      </c>
      <c r="C394" s="3" t="s">
        <v>15</v>
      </c>
      <c r="D394" s="3" t="s">
        <v>11</v>
      </c>
      <c r="E394" s="3" t="s">
        <v>38</v>
      </c>
      <c r="F394" s="3" t="s">
        <v>39</v>
      </c>
      <c r="G394" s="3">
        <v>406.6</v>
      </c>
    </row>
    <row r="395" spans="1:7" x14ac:dyDescent="0.35">
      <c r="A395" s="2">
        <v>43718</v>
      </c>
      <c r="B395" s="3" t="s">
        <v>519</v>
      </c>
      <c r="C395" s="3" t="s">
        <v>15</v>
      </c>
      <c r="D395" s="3" t="s">
        <v>16</v>
      </c>
      <c r="E395" s="3" t="s">
        <v>23</v>
      </c>
      <c r="F395" s="3" t="s">
        <v>26</v>
      </c>
      <c r="G395" s="3">
        <v>1.556</v>
      </c>
    </row>
    <row r="396" spans="1:7" x14ac:dyDescent="0.35">
      <c r="A396" s="2">
        <v>43718</v>
      </c>
      <c r="B396" s="3" t="s">
        <v>518</v>
      </c>
      <c r="C396" s="3" t="s">
        <v>15</v>
      </c>
      <c r="D396" s="3" t="s">
        <v>28</v>
      </c>
      <c r="E396" s="3" t="s">
        <v>253</v>
      </c>
      <c r="F396" s="3" t="s">
        <v>30</v>
      </c>
      <c r="G396" s="3">
        <v>67.900000000000006</v>
      </c>
    </row>
    <row r="397" spans="1:7" x14ac:dyDescent="0.35">
      <c r="A397" s="2">
        <v>43718</v>
      </c>
      <c r="B397" s="3" t="s">
        <v>520</v>
      </c>
      <c r="C397" s="3" t="s">
        <v>15</v>
      </c>
      <c r="D397" s="3" t="s">
        <v>28</v>
      </c>
      <c r="E397" s="3" t="s">
        <v>29</v>
      </c>
      <c r="F397" s="3" t="s">
        <v>521</v>
      </c>
      <c r="G397" s="3">
        <v>195.68</v>
      </c>
    </row>
    <row r="398" spans="1:7" x14ac:dyDescent="0.35">
      <c r="A398" s="2">
        <v>43719</v>
      </c>
      <c r="B398" s="3" t="s">
        <v>522</v>
      </c>
      <c r="C398" s="3" t="s">
        <v>15</v>
      </c>
      <c r="D398" s="3" t="s">
        <v>49</v>
      </c>
      <c r="E398" s="3" t="s">
        <v>230</v>
      </c>
      <c r="F398" s="3" t="s">
        <v>231</v>
      </c>
      <c r="G398" s="3">
        <v>90.86</v>
      </c>
    </row>
    <row r="399" spans="1:7" x14ac:dyDescent="0.35">
      <c r="A399" s="2">
        <v>43721</v>
      </c>
      <c r="B399" s="3" t="s">
        <v>523</v>
      </c>
      <c r="C399" s="3" t="s">
        <v>10</v>
      </c>
      <c r="D399" s="3" t="s">
        <v>28</v>
      </c>
      <c r="E399" s="3" t="s">
        <v>90</v>
      </c>
      <c r="F399" s="3" t="s">
        <v>450</v>
      </c>
      <c r="G399" s="3">
        <v>942.78399999999999</v>
      </c>
    </row>
    <row r="400" spans="1:7" x14ac:dyDescent="0.35">
      <c r="A400" s="2">
        <v>43722</v>
      </c>
      <c r="B400" s="3" t="s">
        <v>478</v>
      </c>
      <c r="C400" s="3" t="s">
        <v>15</v>
      </c>
      <c r="D400" s="3" t="s">
        <v>11</v>
      </c>
      <c r="E400" s="3" t="s">
        <v>38</v>
      </c>
      <c r="F400" s="3" t="s">
        <v>39</v>
      </c>
      <c r="G400" s="3">
        <v>108.96</v>
      </c>
    </row>
    <row r="401" spans="1:7" x14ac:dyDescent="0.35">
      <c r="A401" s="2">
        <v>43728</v>
      </c>
      <c r="B401" s="3" t="s">
        <v>524</v>
      </c>
      <c r="C401" s="3" t="s">
        <v>15</v>
      </c>
      <c r="D401" s="3" t="s">
        <v>28</v>
      </c>
      <c r="E401" s="3" t="s">
        <v>41</v>
      </c>
      <c r="F401" s="3" t="s">
        <v>51</v>
      </c>
      <c r="G401" s="3">
        <v>80.48</v>
      </c>
    </row>
    <row r="402" spans="1:7" x14ac:dyDescent="0.35">
      <c r="A402" s="2">
        <v>43730</v>
      </c>
      <c r="B402" s="3" t="s">
        <v>525</v>
      </c>
      <c r="C402" s="3" t="s">
        <v>15</v>
      </c>
      <c r="D402" s="3" t="s">
        <v>11</v>
      </c>
      <c r="E402" s="3" t="s">
        <v>20</v>
      </c>
      <c r="F402" s="3" t="s">
        <v>21</v>
      </c>
      <c r="G402" s="3">
        <v>119.96</v>
      </c>
    </row>
    <row r="403" spans="1:7" x14ac:dyDescent="0.35">
      <c r="A403" s="2">
        <v>43730</v>
      </c>
      <c r="B403" s="3" t="s">
        <v>92</v>
      </c>
      <c r="C403" s="3" t="s">
        <v>15</v>
      </c>
      <c r="D403" s="3" t="s">
        <v>11</v>
      </c>
      <c r="E403" s="3" t="s">
        <v>38</v>
      </c>
      <c r="F403" s="3" t="s">
        <v>39</v>
      </c>
      <c r="G403" s="3">
        <v>160.96</v>
      </c>
    </row>
    <row r="404" spans="1:7" x14ac:dyDescent="0.35">
      <c r="A404" s="2">
        <v>43730</v>
      </c>
      <c r="B404" s="3" t="s">
        <v>303</v>
      </c>
      <c r="C404" s="3" t="s">
        <v>15</v>
      </c>
      <c r="D404" s="3" t="s">
        <v>16</v>
      </c>
      <c r="E404" s="3" t="s">
        <v>65</v>
      </c>
      <c r="F404" s="3" t="s">
        <v>66</v>
      </c>
      <c r="G404" s="3">
        <v>73.176000000000002</v>
      </c>
    </row>
    <row r="405" spans="1:7" x14ac:dyDescent="0.35">
      <c r="A405" s="2">
        <v>43735</v>
      </c>
      <c r="B405" s="3" t="s">
        <v>526</v>
      </c>
      <c r="C405" s="3" t="s">
        <v>44</v>
      </c>
      <c r="D405" s="3" t="s">
        <v>11</v>
      </c>
      <c r="E405" s="3" t="s">
        <v>81</v>
      </c>
      <c r="F405" s="3" t="s">
        <v>82</v>
      </c>
      <c r="G405" s="3">
        <v>209.792</v>
      </c>
    </row>
    <row r="406" spans="1:7" x14ac:dyDescent="0.35">
      <c r="A406" s="2">
        <v>43736</v>
      </c>
      <c r="B406" s="3" t="s">
        <v>207</v>
      </c>
      <c r="C406" s="3" t="s">
        <v>15</v>
      </c>
      <c r="D406" s="3" t="s">
        <v>11</v>
      </c>
      <c r="E406" s="3" t="s">
        <v>38</v>
      </c>
      <c r="F406" s="3" t="s">
        <v>527</v>
      </c>
      <c r="G406" s="3">
        <v>97.84</v>
      </c>
    </row>
    <row r="407" spans="1:7" x14ac:dyDescent="0.35">
      <c r="A407" s="2">
        <v>43737</v>
      </c>
      <c r="B407" s="3" t="s">
        <v>528</v>
      </c>
      <c r="C407" s="3" t="s">
        <v>10</v>
      </c>
      <c r="D407" s="3" t="s">
        <v>11</v>
      </c>
      <c r="E407" s="3" t="s">
        <v>20</v>
      </c>
      <c r="F407" s="3" t="s">
        <v>21</v>
      </c>
      <c r="G407" s="3">
        <v>3.89</v>
      </c>
    </row>
    <row r="408" spans="1:7" x14ac:dyDescent="0.35">
      <c r="A408" s="2">
        <v>43738</v>
      </c>
      <c r="B408" s="3" t="s">
        <v>529</v>
      </c>
      <c r="C408" s="3" t="s">
        <v>15</v>
      </c>
      <c r="D408" s="3" t="s">
        <v>11</v>
      </c>
      <c r="E408" s="3" t="s">
        <v>38</v>
      </c>
      <c r="F408" s="3" t="s">
        <v>373</v>
      </c>
      <c r="G408" s="3">
        <v>241.96</v>
      </c>
    </row>
    <row r="409" spans="1:7" x14ac:dyDescent="0.35">
      <c r="A409" s="2">
        <v>43739</v>
      </c>
      <c r="B409" s="3" t="s">
        <v>413</v>
      </c>
      <c r="C409" s="3" t="s">
        <v>10</v>
      </c>
      <c r="D409" s="3" t="s">
        <v>16</v>
      </c>
      <c r="E409" s="3" t="s">
        <v>23</v>
      </c>
      <c r="F409" s="3" t="s">
        <v>26</v>
      </c>
      <c r="G409" s="3">
        <v>15.224</v>
      </c>
    </row>
    <row r="410" spans="1:7" x14ac:dyDescent="0.35">
      <c r="A410" s="2">
        <v>43739</v>
      </c>
      <c r="B410" s="3" t="s">
        <v>413</v>
      </c>
      <c r="C410" s="3" t="s">
        <v>10</v>
      </c>
      <c r="D410" s="3" t="s">
        <v>16</v>
      </c>
      <c r="E410" s="3" t="s">
        <v>23</v>
      </c>
      <c r="F410" s="3" t="s">
        <v>26</v>
      </c>
      <c r="G410" s="3">
        <v>21.984000000000002</v>
      </c>
    </row>
    <row r="411" spans="1:7" x14ac:dyDescent="0.35">
      <c r="A411" s="2">
        <v>43740</v>
      </c>
      <c r="B411" s="3" t="s">
        <v>508</v>
      </c>
      <c r="C411" s="3" t="s">
        <v>15</v>
      </c>
      <c r="D411" s="3" t="s">
        <v>28</v>
      </c>
      <c r="E411" s="3" t="s">
        <v>107</v>
      </c>
      <c r="F411" s="3" t="s">
        <v>400</v>
      </c>
      <c r="G411" s="3">
        <v>17.920000000000002</v>
      </c>
    </row>
    <row r="412" spans="1:7" x14ac:dyDescent="0.35">
      <c r="A412" s="2">
        <v>43742</v>
      </c>
      <c r="B412" s="3" t="s">
        <v>530</v>
      </c>
      <c r="C412" s="3" t="s">
        <v>10</v>
      </c>
      <c r="D412" s="3" t="s">
        <v>11</v>
      </c>
      <c r="E412" s="3" t="s">
        <v>38</v>
      </c>
      <c r="F412" s="3" t="s">
        <v>531</v>
      </c>
      <c r="G412" s="3">
        <v>15.8</v>
      </c>
    </row>
    <row r="413" spans="1:7" x14ac:dyDescent="0.35">
      <c r="A413" s="2">
        <v>43743</v>
      </c>
      <c r="B413" s="3" t="s">
        <v>532</v>
      </c>
      <c r="C413" s="3" t="s">
        <v>44</v>
      </c>
      <c r="D413" s="3" t="s">
        <v>11</v>
      </c>
      <c r="E413" s="3" t="s">
        <v>533</v>
      </c>
      <c r="F413" s="3" t="s">
        <v>534</v>
      </c>
      <c r="G413" s="3">
        <v>227.84</v>
      </c>
    </row>
    <row r="414" spans="1:7" x14ac:dyDescent="0.35">
      <c r="A414" s="2">
        <v>43750</v>
      </c>
      <c r="B414" s="3" t="s">
        <v>361</v>
      </c>
      <c r="C414" s="3" t="s">
        <v>15</v>
      </c>
      <c r="D414" s="3" t="s">
        <v>49</v>
      </c>
      <c r="E414" s="3" t="s">
        <v>54</v>
      </c>
      <c r="F414" s="3" t="s">
        <v>63</v>
      </c>
      <c r="G414" s="3">
        <v>904.9</v>
      </c>
    </row>
    <row r="415" spans="1:7" x14ac:dyDescent="0.35">
      <c r="A415" s="2">
        <v>43758</v>
      </c>
      <c r="B415" s="3" t="s">
        <v>392</v>
      </c>
      <c r="C415" s="3" t="s">
        <v>15</v>
      </c>
      <c r="D415" s="3" t="s">
        <v>16</v>
      </c>
      <c r="E415" s="3" t="s">
        <v>65</v>
      </c>
      <c r="F415" s="3" t="s">
        <v>66</v>
      </c>
      <c r="G415" s="3">
        <v>23.992000000000001</v>
      </c>
    </row>
    <row r="416" spans="1:7" x14ac:dyDescent="0.35">
      <c r="A416" s="2">
        <v>43758</v>
      </c>
      <c r="B416" s="3" t="s">
        <v>381</v>
      </c>
      <c r="C416" s="3" t="s">
        <v>44</v>
      </c>
      <c r="D416" s="3" t="s">
        <v>49</v>
      </c>
      <c r="E416" s="3" t="s">
        <v>50</v>
      </c>
      <c r="F416" s="3" t="s">
        <v>535</v>
      </c>
      <c r="G416" s="3">
        <v>161.56800000000001</v>
      </c>
    </row>
    <row r="417" spans="1:7" x14ac:dyDescent="0.35">
      <c r="A417" s="2">
        <v>43760</v>
      </c>
      <c r="B417" s="3" t="s">
        <v>536</v>
      </c>
      <c r="C417" s="3" t="s">
        <v>10</v>
      </c>
      <c r="D417" s="3" t="s">
        <v>49</v>
      </c>
      <c r="E417" s="3" t="s">
        <v>537</v>
      </c>
      <c r="F417" s="3" t="s">
        <v>538</v>
      </c>
      <c r="G417" s="3">
        <v>2.2200000000000002</v>
      </c>
    </row>
    <row r="418" spans="1:7" x14ac:dyDescent="0.35">
      <c r="A418" s="2">
        <v>43767</v>
      </c>
      <c r="B418" s="3" t="s">
        <v>539</v>
      </c>
      <c r="C418" s="3" t="s">
        <v>15</v>
      </c>
      <c r="D418" s="3" t="s">
        <v>11</v>
      </c>
      <c r="E418" s="3" t="s">
        <v>38</v>
      </c>
      <c r="F418" s="3" t="s">
        <v>39</v>
      </c>
      <c r="G418" s="3">
        <v>1702.12</v>
      </c>
    </row>
    <row r="419" spans="1:7" x14ac:dyDescent="0.35">
      <c r="A419" s="2">
        <v>43770</v>
      </c>
      <c r="B419" s="3" t="s">
        <v>540</v>
      </c>
      <c r="C419" s="3" t="s">
        <v>10</v>
      </c>
      <c r="D419" s="3" t="s">
        <v>49</v>
      </c>
      <c r="E419" s="3" t="s">
        <v>77</v>
      </c>
      <c r="F419" s="3" t="s">
        <v>78</v>
      </c>
      <c r="G419" s="3">
        <v>20.135999999999999</v>
      </c>
    </row>
    <row r="420" spans="1:7" x14ac:dyDescent="0.35">
      <c r="A420" s="2">
        <v>43770</v>
      </c>
      <c r="B420" s="3" t="s">
        <v>541</v>
      </c>
      <c r="C420" s="3" t="s">
        <v>15</v>
      </c>
      <c r="D420" s="3" t="s">
        <v>11</v>
      </c>
      <c r="E420" s="3" t="s">
        <v>38</v>
      </c>
      <c r="F420" s="3" t="s">
        <v>45</v>
      </c>
      <c r="G420" s="3">
        <v>168.1</v>
      </c>
    </row>
    <row r="421" spans="1:7" x14ac:dyDescent="0.35">
      <c r="A421" s="2">
        <v>43770</v>
      </c>
      <c r="B421" s="3" t="s">
        <v>542</v>
      </c>
      <c r="C421" s="3" t="s">
        <v>15</v>
      </c>
      <c r="D421" s="3" t="s">
        <v>16</v>
      </c>
      <c r="E421" s="3" t="s">
        <v>320</v>
      </c>
      <c r="F421" s="3" t="s">
        <v>543</v>
      </c>
      <c r="G421" s="3">
        <v>83.9</v>
      </c>
    </row>
    <row r="422" spans="1:7" x14ac:dyDescent="0.35">
      <c r="A422" s="2">
        <v>43772</v>
      </c>
      <c r="B422" s="3" t="s">
        <v>544</v>
      </c>
      <c r="C422" s="3" t="s">
        <v>10</v>
      </c>
      <c r="D422" s="3" t="s">
        <v>28</v>
      </c>
      <c r="E422" s="3" t="s">
        <v>90</v>
      </c>
      <c r="F422" s="3" t="s">
        <v>430</v>
      </c>
      <c r="G422" s="3">
        <v>167.44</v>
      </c>
    </row>
    <row r="423" spans="1:7" x14ac:dyDescent="0.35">
      <c r="A423" s="2">
        <v>43774</v>
      </c>
      <c r="B423" s="3" t="s">
        <v>545</v>
      </c>
      <c r="C423" s="3" t="s">
        <v>15</v>
      </c>
      <c r="D423" s="3" t="s">
        <v>28</v>
      </c>
      <c r="E423" s="3" t="s">
        <v>90</v>
      </c>
      <c r="F423" s="3" t="s">
        <v>299</v>
      </c>
      <c r="G423" s="3">
        <v>499.584</v>
      </c>
    </row>
    <row r="424" spans="1:7" x14ac:dyDescent="0.35">
      <c r="A424" s="2">
        <v>43775</v>
      </c>
      <c r="B424" s="3" t="s">
        <v>546</v>
      </c>
      <c r="C424" s="3" t="s">
        <v>15</v>
      </c>
      <c r="D424" s="3" t="s">
        <v>49</v>
      </c>
      <c r="E424" s="3" t="s">
        <v>84</v>
      </c>
      <c r="F424" s="3" t="s">
        <v>85</v>
      </c>
      <c r="G424" s="3">
        <v>100.94</v>
      </c>
    </row>
    <row r="425" spans="1:7" x14ac:dyDescent="0.35">
      <c r="A425" s="2">
        <v>43778</v>
      </c>
      <c r="B425" s="3" t="s">
        <v>547</v>
      </c>
      <c r="C425" s="3" t="s">
        <v>15</v>
      </c>
      <c r="D425" s="3" t="s">
        <v>11</v>
      </c>
      <c r="E425" s="3" t="s">
        <v>20</v>
      </c>
      <c r="F425" s="3" t="s">
        <v>548</v>
      </c>
      <c r="G425" s="3">
        <v>400.8</v>
      </c>
    </row>
    <row r="426" spans="1:7" x14ac:dyDescent="0.35">
      <c r="A426" s="2">
        <v>43779</v>
      </c>
      <c r="B426" s="3" t="s">
        <v>549</v>
      </c>
      <c r="C426" s="3" t="s">
        <v>15</v>
      </c>
      <c r="D426" s="3" t="s">
        <v>11</v>
      </c>
      <c r="E426" s="3" t="s">
        <v>38</v>
      </c>
      <c r="F426" s="3" t="s">
        <v>45</v>
      </c>
      <c r="G426" s="3">
        <v>10.89</v>
      </c>
    </row>
    <row r="427" spans="1:7" x14ac:dyDescent="0.35">
      <c r="A427" s="2">
        <v>43779</v>
      </c>
      <c r="B427" s="3" t="s">
        <v>275</v>
      </c>
      <c r="C427" s="3" t="s">
        <v>10</v>
      </c>
      <c r="D427" s="3" t="s">
        <v>28</v>
      </c>
      <c r="E427" s="3" t="s">
        <v>107</v>
      </c>
      <c r="F427" s="3" t="s">
        <v>550</v>
      </c>
      <c r="G427" s="3">
        <v>1158.1199999999999</v>
      </c>
    </row>
    <row r="428" spans="1:7" x14ac:dyDescent="0.35">
      <c r="A428" s="2">
        <v>43780</v>
      </c>
      <c r="B428" s="3" t="s">
        <v>551</v>
      </c>
      <c r="C428" s="3" t="s">
        <v>15</v>
      </c>
      <c r="D428" s="3" t="s">
        <v>11</v>
      </c>
      <c r="E428" s="3" t="s">
        <v>20</v>
      </c>
      <c r="F428" s="3" t="s">
        <v>552</v>
      </c>
      <c r="G428" s="3">
        <v>76.12</v>
      </c>
    </row>
    <row r="429" spans="1:7" x14ac:dyDescent="0.35">
      <c r="A429" s="2">
        <v>43781</v>
      </c>
      <c r="B429" s="3" t="s">
        <v>553</v>
      </c>
      <c r="C429" s="3" t="s">
        <v>44</v>
      </c>
      <c r="D429" s="3" t="s">
        <v>16</v>
      </c>
      <c r="E429" s="3" t="s">
        <v>23</v>
      </c>
      <c r="F429" s="3" t="s">
        <v>26</v>
      </c>
      <c r="G429" s="3">
        <v>9.3239999999999998</v>
      </c>
    </row>
    <row r="430" spans="1:7" x14ac:dyDescent="0.35">
      <c r="A430" s="2">
        <v>43785</v>
      </c>
      <c r="B430" s="3" t="s">
        <v>109</v>
      </c>
      <c r="C430" s="3" t="s">
        <v>15</v>
      </c>
      <c r="D430" s="3" t="s">
        <v>28</v>
      </c>
      <c r="E430" s="3" t="s">
        <v>253</v>
      </c>
      <c r="F430" s="3" t="s">
        <v>554</v>
      </c>
      <c r="G430" s="3">
        <v>35.04</v>
      </c>
    </row>
    <row r="431" spans="1:7" x14ac:dyDescent="0.35">
      <c r="A431" s="2">
        <v>43786</v>
      </c>
      <c r="B431" s="3" t="s">
        <v>555</v>
      </c>
      <c r="C431" s="3" t="s">
        <v>10</v>
      </c>
      <c r="D431" s="3" t="s">
        <v>28</v>
      </c>
      <c r="E431" s="3" t="s">
        <v>107</v>
      </c>
      <c r="F431" s="3" t="s">
        <v>556</v>
      </c>
      <c r="G431" s="3">
        <v>389.05599999999998</v>
      </c>
    </row>
    <row r="432" spans="1:7" x14ac:dyDescent="0.35">
      <c r="A432" s="2">
        <v>43787</v>
      </c>
      <c r="B432" s="3" t="s">
        <v>557</v>
      </c>
      <c r="C432" s="3" t="s">
        <v>10</v>
      </c>
      <c r="D432" s="3" t="s">
        <v>49</v>
      </c>
      <c r="E432" s="3" t="s">
        <v>54</v>
      </c>
      <c r="F432" s="3" t="s">
        <v>63</v>
      </c>
      <c r="G432" s="3">
        <v>2504.7399999999998</v>
      </c>
    </row>
    <row r="433" spans="1:7" x14ac:dyDescent="0.35">
      <c r="A433" s="2">
        <v>43789</v>
      </c>
      <c r="B433" s="3" t="s">
        <v>558</v>
      </c>
      <c r="C433" s="3" t="s">
        <v>44</v>
      </c>
      <c r="D433" s="3" t="s">
        <v>11</v>
      </c>
      <c r="E433" s="3" t="s">
        <v>38</v>
      </c>
      <c r="F433" s="3" t="s">
        <v>339</v>
      </c>
      <c r="G433" s="3">
        <v>8.6199999999999992</v>
      </c>
    </row>
    <row r="434" spans="1:7" x14ac:dyDescent="0.35">
      <c r="A434" s="2">
        <v>43792</v>
      </c>
      <c r="B434" s="3" t="s">
        <v>559</v>
      </c>
      <c r="C434" s="3" t="s">
        <v>10</v>
      </c>
      <c r="D434" s="3" t="s">
        <v>16</v>
      </c>
      <c r="E434" s="3" t="s">
        <v>23</v>
      </c>
      <c r="F434" s="3" t="s">
        <v>560</v>
      </c>
      <c r="G434" s="3">
        <v>13.762</v>
      </c>
    </row>
    <row r="435" spans="1:7" x14ac:dyDescent="0.35">
      <c r="A435" s="2">
        <v>43793</v>
      </c>
      <c r="B435" s="3" t="s">
        <v>561</v>
      </c>
      <c r="C435" s="3" t="s">
        <v>15</v>
      </c>
      <c r="D435" s="3" t="s">
        <v>16</v>
      </c>
      <c r="E435" s="3" t="s">
        <v>23</v>
      </c>
      <c r="F435" s="3" t="s">
        <v>26</v>
      </c>
      <c r="G435" s="3">
        <v>67.84</v>
      </c>
    </row>
    <row r="436" spans="1:7" x14ac:dyDescent="0.35">
      <c r="A436" s="2">
        <v>43794</v>
      </c>
      <c r="B436" s="3" t="s">
        <v>562</v>
      </c>
      <c r="C436" s="3" t="s">
        <v>10</v>
      </c>
      <c r="D436" s="3" t="s">
        <v>49</v>
      </c>
      <c r="E436" s="3" t="s">
        <v>50</v>
      </c>
      <c r="F436" s="3" t="s">
        <v>51</v>
      </c>
      <c r="G436" s="3">
        <v>52.271999999999998</v>
      </c>
    </row>
    <row r="437" spans="1:7" x14ac:dyDescent="0.35">
      <c r="A437" s="2">
        <v>43794</v>
      </c>
      <c r="B437" s="3" t="s">
        <v>562</v>
      </c>
      <c r="C437" s="3" t="s">
        <v>10</v>
      </c>
      <c r="D437" s="3" t="s">
        <v>49</v>
      </c>
      <c r="E437" s="3" t="s">
        <v>50</v>
      </c>
      <c r="F437" s="3" t="s">
        <v>51</v>
      </c>
      <c r="G437" s="3">
        <v>213.136</v>
      </c>
    </row>
    <row r="438" spans="1:7" x14ac:dyDescent="0.35">
      <c r="A438" s="2">
        <v>43794</v>
      </c>
      <c r="B438" s="3" t="s">
        <v>59</v>
      </c>
      <c r="C438" s="3" t="s">
        <v>44</v>
      </c>
      <c r="D438" s="3" t="s">
        <v>49</v>
      </c>
      <c r="E438" s="3" t="s">
        <v>54</v>
      </c>
      <c r="F438" s="3" t="s">
        <v>63</v>
      </c>
      <c r="G438" s="3">
        <v>58.73</v>
      </c>
    </row>
    <row r="439" spans="1:7" x14ac:dyDescent="0.35">
      <c r="A439" s="2">
        <v>43795</v>
      </c>
      <c r="B439" s="3" t="s">
        <v>563</v>
      </c>
      <c r="C439" s="3" t="s">
        <v>15</v>
      </c>
      <c r="D439" s="3" t="s">
        <v>28</v>
      </c>
      <c r="E439" s="3" t="s">
        <v>90</v>
      </c>
      <c r="F439" s="3" t="s">
        <v>564</v>
      </c>
      <c r="G439" s="3">
        <v>43.584000000000003</v>
      </c>
    </row>
    <row r="440" spans="1:7" x14ac:dyDescent="0.35">
      <c r="A440" s="2">
        <v>43798</v>
      </c>
      <c r="B440" s="3" t="s">
        <v>565</v>
      </c>
      <c r="C440" s="3" t="s">
        <v>44</v>
      </c>
      <c r="D440" s="3" t="s">
        <v>49</v>
      </c>
      <c r="E440" s="3" t="s">
        <v>50</v>
      </c>
      <c r="F440" s="3" t="s">
        <v>205</v>
      </c>
      <c r="G440" s="3">
        <v>663.93600000000004</v>
      </c>
    </row>
    <row r="441" spans="1:7" x14ac:dyDescent="0.35">
      <c r="A441" s="2">
        <v>43799</v>
      </c>
      <c r="B441" s="3" t="s">
        <v>566</v>
      </c>
      <c r="C441" s="3" t="s">
        <v>15</v>
      </c>
      <c r="D441" s="3" t="s">
        <v>11</v>
      </c>
      <c r="E441" s="3" t="s">
        <v>81</v>
      </c>
      <c r="F441" s="3" t="s">
        <v>93</v>
      </c>
      <c r="G441" s="3">
        <v>31.152000000000001</v>
      </c>
    </row>
    <row r="442" spans="1:7" x14ac:dyDescent="0.35">
      <c r="A442" s="2">
        <v>43800</v>
      </c>
      <c r="B442" s="3" t="s">
        <v>567</v>
      </c>
      <c r="C442" s="3" t="s">
        <v>15</v>
      </c>
      <c r="D442" s="3" t="s">
        <v>16</v>
      </c>
      <c r="E442" s="3" t="s">
        <v>23</v>
      </c>
      <c r="F442" s="3" t="s">
        <v>26</v>
      </c>
      <c r="G442" s="3">
        <v>294.62</v>
      </c>
    </row>
    <row r="443" spans="1:7" x14ac:dyDescent="0.35">
      <c r="A443" s="2">
        <v>43800</v>
      </c>
      <c r="B443" s="3" t="s">
        <v>568</v>
      </c>
      <c r="C443" s="3" t="s">
        <v>10</v>
      </c>
      <c r="D443" s="3" t="s">
        <v>11</v>
      </c>
      <c r="E443" s="3" t="s">
        <v>38</v>
      </c>
      <c r="F443" s="3" t="s">
        <v>45</v>
      </c>
      <c r="G443" s="3">
        <v>79.47</v>
      </c>
    </row>
    <row r="444" spans="1:7" x14ac:dyDescent="0.35">
      <c r="A444" s="2">
        <v>43800</v>
      </c>
      <c r="B444" s="3" t="s">
        <v>569</v>
      </c>
      <c r="C444" s="3" t="s">
        <v>15</v>
      </c>
      <c r="D444" s="3" t="s">
        <v>49</v>
      </c>
      <c r="E444" s="3" t="s">
        <v>60</v>
      </c>
      <c r="F444" s="3" t="s">
        <v>570</v>
      </c>
      <c r="G444" s="3">
        <v>286.86</v>
      </c>
    </row>
    <row r="445" spans="1:7" x14ac:dyDescent="0.35">
      <c r="A445" s="2">
        <v>43801</v>
      </c>
      <c r="B445" s="3" t="s">
        <v>164</v>
      </c>
      <c r="C445" s="3" t="s">
        <v>15</v>
      </c>
      <c r="D445" s="3" t="s">
        <v>28</v>
      </c>
      <c r="E445" s="3" t="s">
        <v>90</v>
      </c>
      <c r="F445" s="3" t="s">
        <v>299</v>
      </c>
      <c r="G445" s="3">
        <v>45.216000000000001</v>
      </c>
    </row>
    <row r="446" spans="1:7" x14ac:dyDescent="0.35">
      <c r="A446" s="2">
        <v>43803</v>
      </c>
      <c r="B446" s="3" t="s">
        <v>571</v>
      </c>
      <c r="C446" s="3" t="s">
        <v>15</v>
      </c>
      <c r="D446" s="3" t="s">
        <v>16</v>
      </c>
      <c r="E446" s="3" t="s">
        <v>172</v>
      </c>
      <c r="F446" s="3" t="s">
        <v>51</v>
      </c>
      <c r="G446" s="3">
        <v>61.44</v>
      </c>
    </row>
    <row r="447" spans="1:7" x14ac:dyDescent="0.35">
      <c r="A447" s="2">
        <v>43803</v>
      </c>
      <c r="B447" s="3" t="s">
        <v>572</v>
      </c>
      <c r="C447" s="3" t="s">
        <v>10</v>
      </c>
      <c r="D447" s="3" t="s">
        <v>49</v>
      </c>
      <c r="E447" s="3" t="s">
        <v>54</v>
      </c>
      <c r="F447" s="3" t="s">
        <v>63</v>
      </c>
      <c r="G447" s="3">
        <v>254.9</v>
      </c>
    </row>
    <row r="448" spans="1:7" x14ac:dyDescent="0.35">
      <c r="A448" s="2">
        <v>43805</v>
      </c>
      <c r="B448" s="3" t="s">
        <v>72</v>
      </c>
      <c r="C448" s="3" t="s">
        <v>15</v>
      </c>
      <c r="D448" s="3" t="s">
        <v>28</v>
      </c>
      <c r="E448" s="3" t="s">
        <v>35</v>
      </c>
      <c r="F448" s="3" t="s">
        <v>573</v>
      </c>
      <c r="G448" s="3">
        <v>320.64</v>
      </c>
    </row>
    <row r="449" spans="1:7" x14ac:dyDescent="0.35">
      <c r="A449" s="2">
        <v>43806</v>
      </c>
      <c r="B449" s="3" t="s">
        <v>574</v>
      </c>
      <c r="C449" s="3" t="s">
        <v>10</v>
      </c>
      <c r="D449" s="3" t="s">
        <v>11</v>
      </c>
      <c r="E449" s="3" t="s">
        <v>38</v>
      </c>
      <c r="F449" s="3" t="s">
        <v>39</v>
      </c>
      <c r="G449" s="3">
        <v>69.48</v>
      </c>
    </row>
    <row r="450" spans="1:7" x14ac:dyDescent="0.35">
      <c r="A450" s="2">
        <v>43806</v>
      </c>
      <c r="B450" s="3" t="s">
        <v>575</v>
      </c>
      <c r="C450" s="3" t="s">
        <v>15</v>
      </c>
      <c r="D450" s="3" t="s">
        <v>16</v>
      </c>
      <c r="E450" s="3" t="s">
        <v>151</v>
      </c>
      <c r="F450" s="3" t="s">
        <v>576</v>
      </c>
      <c r="G450" s="3">
        <v>1089.75</v>
      </c>
    </row>
    <row r="451" spans="1:7" x14ac:dyDescent="0.35">
      <c r="A451" s="2">
        <v>43807</v>
      </c>
      <c r="B451" s="3" t="s">
        <v>577</v>
      </c>
      <c r="C451" s="3" t="s">
        <v>44</v>
      </c>
      <c r="D451" s="3" t="s">
        <v>11</v>
      </c>
      <c r="E451" s="3" t="s">
        <v>38</v>
      </c>
      <c r="F451" s="3" t="s">
        <v>45</v>
      </c>
      <c r="G451" s="3">
        <v>189</v>
      </c>
    </row>
    <row r="452" spans="1:7" x14ac:dyDescent="0.35">
      <c r="A452" s="2">
        <v>43807</v>
      </c>
      <c r="B452" s="3" t="s">
        <v>431</v>
      </c>
      <c r="C452" s="3" t="s">
        <v>15</v>
      </c>
      <c r="D452" s="3" t="s">
        <v>28</v>
      </c>
      <c r="E452" s="3" t="s">
        <v>29</v>
      </c>
      <c r="F452" s="3" t="s">
        <v>30</v>
      </c>
      <c r="G452" s="3">
        <v>214.9</v>
      </c>
    </row>
    <row r="453" spans="1:7" x14ac:dyDescent="0.35">
      <c r="A453" s="2">
        <v>43808</v>
      </c>
      <c r="B453" s="3" t="s">
        <v>578</v>
      </c>
      <c r="C453" s="3" t="s">
        <v>15</v>
      </c>
      <c r="D453" s="3" t="s">
        <v>49</v>
      </c>
      <c r="E453" s="3" t="s">
        <v>100</v>
      </c>
      <c r="F453" s="3" t="s">
        <v>139</v>
      </c>
      <c r="G453" s="3">
        <v>426.79</v>
      </c>
    </row>
    <row r="454" spans="1:7" x14ac:dyDescent="0.35">
      <c r="A454" s="2">
        <v>43809</v>
      </c>
      <c r="B454" s="3" t="s">
        <v>579</v>
      </c>
      <c r="C454" s="3" t="s">
        <v>15</v>
      </c>
      <c r="D454" s="3" t="s">
        <v>16</v>
      </c>
      <c r="E454" s="3" t="s">
        <v>23</v>
      </c>
      <c r="F454" s="3" t="s">
        <v>580</v>
      </c>
      <c r="G454" s="3">
        <v>1.3919999999999999</v>
      </c>
    </row>
    <row r="455" spans="1:7" x14ac:dyDescent="0.35">
      <c r="A455" s="2">
        <v>43813</v>
      </c>
      <c r="B455" s="3" t="s">
        <v>581</v>
      </c>
      <c r="C455" s="3" t="s">
        <v>15</v>
      </c>
      <c r="D455" s="3" t="s">
        <v>11</v>
      </c>
      <c r="E455" s="3" t="s">
        <v>38</v>
      </c>
      <c r="F455" s="3" t="s">
        <v>511</v>
      </c>
      <c r="G455" s="3">
        <v>54.32</v>
      </c>
    </row>
    <row r="456" spans="1:7" x14ac:dyDescent="0.35">
      <c r="A456" s="2">
        <v>43815</v>
      </c>
      <c r="B456" s="3" t="s">
        <v>582</v>
      </c>
      <c r="C456" s="3" t="s">
        <v>15</v>
      </c>
      <c r="D456" s="3" t="s">
        <v>16</v>
      </c>
      <c r="E456" s="3" t="s">
        <v>23</v>
      </c>
      <c r="F456" s="3" t="s">
        <v>24</v>
      </c>
      <c r="G456" s="3">
        <v>66.284000000000006</v>
      </c>
    </row>
    <row r="457" spans="1:7" x14ac:dyDescent="0.35">
      <c r="A457" s="2">
        <v>43816</v>
      </c>
      <c r="B457" s="3" t="s">
        <v>583</v>
      </c>
      <c r="C457" s="3" t="s">
        <v>15</v>
      </c>
      <c r="D457" s="3" t="s">
        <v>49</v>
      </c>
      <c r="E457" s="3" t="s">
        <v>54</v>
      </c>
      <c r="F457" s="3" t="s">
        <v>63</v>
      </c>
      <c r="G457" s="3">
        <v>1704.56</v>
      </c>
    </row>
    <row r="458" spans="1:7" x14ac:dyDescent="0.35">
      <c r="A458" s="2">
        <v>43816</v>
      </c>
      <c r="B458" s="3" t="s">
        <v>584</v>
      </c>
      <c r="C458" s="3" t="s">
        <v>15</v>
      </c>
      <c r="D458" s="3" t="s">
        <v>49</v>
      </c>
      <c r="E458" s="3" t="s">
        <v>50</v>
      </c>
      <c r="F458" s="3" t="s">
        <v>51</v>
      </c>
      <c r="G458" s="3">
        <v>130.11199999999999</v>
      </c>
    </row>
    <row r="459" spans="1:7" x14ac:dyDescent="0.35">
      <c r="A459" s="2">
        <v>43820</v>
      </c>
      <c r="B459" s="3" t="s">
        <v>585</v>
      </c>
      <c r="C459" s="3" t="s">
        <v>15</v>
      </c>
      <c r="D459" s="3" t="s">
        <v>16</v>
      </c>
      <c r="E459" s="3" t="s">
        <v>320</v>
      </c>
      <c r="F459" s="3" t="s">
        <v>586</v>
      </c>
      <c r="G459" s="3">
        <v>839.43</v>
      </c>
    </row>
    <row r="460" spans="1:7" x14ac:dyDescent="0.35">
      <c r="A460" s="2">
        <v>43820</v>
      </c>
      <c r="B460" s="3" t="s">
        <v>469</v>
      </c>
      <c r="C460" s="3" t="s">
        <v>15</v>
      </c>
      <c r="D460" s="3" t="s">
        <v>28</v>
      </c>
      <c r="E460" s="3" t="s">
        <v>136</v>
      </c>
      <c r="F460" s="3" t="s">
        <v>36</v>
      </c>
      <c r="G460" s="3">
        <v>59.24</v>
      </c>
    </row>
    <row r="461" spans="1:7" x14ac:dyDescent="0.35">
      <c r="A461" s="2">
        <v>43821</v>
      </c>
      <c r="B461" s="3" t="s">
        <v>587</v>
      </c>
      <c r="C461" s="3" t="s">
        <v>15</v>
      </c>
      <c r="D461" s="3" t="s">
        <v>16</v>
      </c>
      <c r="E461" s="3" t="s">
        <v>23</v>
      </c>
      <c r="F461" s="3" t="s">
        <v>588</v>
      </c>
      <c r="G461" s="3">
        <v>29.312000000000001</v>
      </c>
    </row>
    <row r="462" spans="1:7" x14ac:dyDescent="0.35">
      <c r="A462" s="2">
        <v>43822</v>
      </c>
      <c r="B462" s="3" t="s">
        <v>315</v>
      </c>
      <c r="C462" s="3" t="s">
        <v>15</v>
      </c>
      <c r="D462" s="3" t="s">
        <v>49</v>
      </c>
      <c r="E462" s="3" t="s">
        <v>54</v>
      </c>
      <c r="F462" s="3" t="s">
        <v>63</v>
      </c>
      <c r="G462" s="3">
        <v>35.909999999999997</v>
      </c>
    </row>
    <row r="463" spans="1:7" x14ac:dyDescent="0.35">
      <c r="A463" s="2">
        <v>43828</v>
      </c>
      <c r="B463" s="3" t="s">
        <v>589</v>
      </c>
      <c r="C463" s="3" t="s">
        <v>44</v>
      </c>
      <c r="D463" s="3" t="s">
        <v>16</v>
      </c>
      <c r="E463" s="3" t="s">
        <v>172</v>
      </c>
      <c r="F463" s="3" t="s">
        <v>51</v>
      </c>
      <c r="G463" s="3">
        <v>209.3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F2D59-B961-4149-B8D4-FADCE907BBCC}">
  <sheetPr codeName="Sheet4"/>
  <dimension ref="A1:K462"/>
  <sheetViews>
    <sheetView zoomScale="90" zoomScaleNormal="90" workbookViewId="0">
      <selection activeCell="C12" sqref="C12"/>
    </sheetView>
  </sheetViews>
  <sheetFormatPr defaultColWidth="10.36328125" defaultRowHeight="14.5" x14ac:dyDescent="0.35"/>
  <cols>
    <col min="1" max="4" width="10.36328125" style="3"/>
    <col min="5" max="5" width="11.6328125" style="2" customWidth="1"/>
    <col min="6" max="6" width="20.90625" style="3" bestFit="1" customWidth="1"/>
    <col min="7" max="7" width="16.7265625" style="3" bestFit="1" customWidth="1"/>
    <col min="8" max="8" width="12.08984375" style="3" customWidth="1"/>
    <col min="9" max="9" width="13.7265625" style="3" bestFit="1" customWidth="1"/>
    <col min="10" max="10" width="16" style="3" customWidth="1"/>
    <col min="11" max="16384" width="10.36328125" style="3"/>
  </cols>
  <sheetData>
    <row r="1" spans="1:11" x14ac:dyDescent="0.35">
      <c r="A1" s="7" t="s">
        <v>596</v>
      </c>
      <c r="E1" s="3"/>
    </row>
    <row r="2" spans="1:11" x14ac:dyDescent="0.35">
      <c r="E2" s="7"/>
    </row>
    <row r="3" spans="1:11" x14ac:dyDescent="0.35">
      <c r="A3" s="8" t="s">
        <v>595</v>
      </c>
      <c r="E3" s="5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</row>
    <row r="4" spans="1:11" x14ac:dyDescent="0.35">
      <c r="A4" s="3" t="s">
        <v>16</v>
      </c>
      <c r="E4" s="2">
        <v>42386</v>
      </c>
      <c r="F4" s="3" t="s">
        <v>9</v>
      </c>
      <c r="G4" s="3" t="s">
        <v>10</v>
      </c>
      <c r="H4" s="3" t="s">
        <v>11</v>
      </c>
      <c r="I4" s="3" t="s">
        <v>12</v>
      </c>
      <c r="J4" s="3" t="s">
        <v>13</v>
      </c>
      <c r="K4" s="3">
        <v>64.864000000000004</v>
      </c>
    </row>
    <row r="5" spans="1:11" x14ac:dyDescent="0.35">
      <c r="A5" s="3" t="s">
        <v>49</v>
      </c>
      <c r="E5" s="2">
        <v>42388</v>
      </c>
      <c r="F5" s="3" t="s">
        <v>14</v>
      </c>
      <c r="G5" s="3" t="s">
        <v>15</v>
      </c>
      <c r="H5" s="3" t="s">
        <v>16</v>
      </c>
      <c r="I5" s="3" t="s">
        <v>17</v>
      </c>
      <c r="J5" s="3" t="s">
        <v>18</v>
      </c>
      <c r="K5" s="3">
        <v>247.71600000000001</v>
      </c>
    </row>
    <row r="6" spans="1:11" x14ac:dyDescent="0.35">
      <c r="A6" s="3" t="s">
        <v>28</v>
      </c>
      <c r="E6" s="2">
        <v>42413</v>
      </c>
      <c r="F6" s="3" t="s">
        <v>19</v>
      </c>
      <c r="G6" s="3" t="s">
        <v>10</v>
      </c>
      <c r="H6" s="3" t="s">
        <v>11</v>
      </c>
      <c r="I6" s="3" t="s">
        <v>20</v>
      </c>
      <c r="J6" s="3" t="s">
        <v>21</v>
      </c>
      <c r="K6" s="3">
        <v>81.96</v>
      </c>
    </row>
    <row r="7" spans="1:11" x14ac:dyDescent="0.35">
      <c r="A7" s="3" t="s">
        <v>11</v>
      </c>
      <c r="E7" s="2">
        <v>42415</v>
      </c>
      <c r="F7" s="3" t="s">
        <v>22</v>
      </c>
      <c r="G7" s="3" t="s">
        <v>15</v>
      </c>
      <c r="H7" s="3" t="s">
        <v>16</v>
      </c>
      <c r="I7" s="3" t="s">
        <v>23</v>
      </c>
      <c r="J7" s="3" t="s">
        <v>24</v>
      </c>
      <c r="K7" s="3">
        <v>7.96</v>
      </c>
    </row>
    <row r="8" spans="1:11" x14ac:dyDescent="0.35">
      <c r="A8"/>
      <c r="E8" s="2">
        <v>42430</v>
      </c>
      <c r="F8" s="3" t="s">
        <v>25</v>
      </c>
      <c r="G8" s="3" t="s">
        <v>15</v>
      </c>
      <c r="H8" s="3" t="s">
        <v>16</v>
      </c>
      <c r="I8" s="3" t="s">
        <v>23</v>
      </c>
      <c r="J8" s="3" t="s">
        <v>26</v>
      </c>
      <c r="K8" s="3">
        <v>176.77199999999999</v>
      </c>
    </row>
    <row r="9" spans="1:11" x14ac:dyDescent="0.35">
      <c r="A9"/>
      <c r="E9" s="2">
        <v>42438</v>
      </c>
      <c r="F9" s="3" t="s">
        <v>27</v>
      </c>
      <c r="G9" s="3" t="s">
        <v>10</v>
      </c>
      <c r="H9" s="3" t="s">
        <v>28</v>
      </c>
      <c r="I9" s="3" t="s">
        <v>29</v>
      </c>
      <c r="J9" s="3" t="s">
        <v>30</v>
      </c>
      <c r="K9" s="3">
        <v>146.76</v>
      </c>
    </row>
    <row r="10" spans="1:11" x14ac:dyDescent="0.35">
      <c r="A10"/>
      <c r="E10" s="2">
        <v>42444</v>
      </c>
      <c r="F10" s="3" t="s">
        <v>31</v>
      </c>
      <c r="G10" s="3" t="s">
        <v>15</v>
      </c>
      <c r="H10" s="3" t="s">
        <v>16</v>
      </c>
      <c r="I10" s="3" t="s">
        <v>32</v>
      </c>
      <c r="J10" s="3" t="s">
        <v>33</v>
      </c>
      <c r="K10" s="3">
        <v>93.78</v>
      </c>
    </row>
    <row r="11" spans="1:11" x14ac:dyDescent="0.35">
      <c r="A11"/>
      <c r="E11" s="2">
        <v>42444</v>
      </c>
      <c r="F11" s="3" t="s">
        <v>34</v>
      </c>
      <c r="G11" s="3" t="s">
        <v>10</v>
      </c>
      <c r="H11" s="3" t="s">
        <v>28</v>
      </c>
      <c r="I11" s="3" t="s">
        <v>35</v>
      </c>
      <c r="J11" s="3" t="s">
        <v>36</v>
      </c>
      <c r="K11" s="3">
        <v>32.67</v>
      </c>
    </row>
    <row r="12" spans="1:11" x14ac:dyDescent="0.35">
      <c r="A12"/>
      <c r="E12" s="2">
        <v>42458</v>
      </c>
      <c r="F12" s="3" t="s">
        <v>37</v>
      </c>
      <c r="G12" s="3" t="s">
        <v>15</v>
      </c>
      <c r="H12" s="3" t="s">
        <v>11</v>
      </c>
      <c r="I12" s="3" t="s">
        <v>38</v>
      </c>
      <c r="J12" s="3" t="s">
        <v>39</v>
      </c>
      <c r="K12" s="3">
        <v>52.98</v>
      </c>
    </row>
    <row r="13" spans="1:11" x14ac:dyDescent="0.35">
      <c r="A13"/>
      <c r="E13" s="2">
        <v>42460</v>
      </c>
      <c r="F13" s="3" t="s">
        <v>40</v>
      </c>
      <c r="G13" s="3" t="s">
        <v>15</v>
      </c>
      <c r="H13" s="3" t="s">
        <v>28</v>
      </c>
      <c r="I13" s="3" t="s">
        <v>41</v>
      </c>
      <c r="J13" s="3" t="s">
        <v>42</v>
      </c>
      <c r="K13" s="3">
        <v>154.9</v>
      </c>
    </row>
    <row r="14" spans="1:11" x14ac:dyDescent="0.35">
      <c r="A14"/>
      <c r="E14" s="2">
        <v>42473</v>
      </c>
      <c r="F14" s="3" t="s">
        <v>43</v>
      </c>
      <c r="G14" s="3" t="s">
        <v>44</v>
      </c>
      <c r="H14" s="3" t="s">
        <v>11</v>
      </c>
      <c r="I14" s="3" t="s">
        <v>38</v>
      </c>
      <c r="J14" s="3" t="s">
        <v>45</v>
      </c>
      <c r="K14" s="3">
        <v>106.96</v>
      </c>
    </row>
    <row r="15" spans="1:11" x14ac:dyDescent="0.35">
      <c r="A15"/>
      <c r="E15" s="2">
        <v>42483</v>
      </c>
      <c r="F15" s="3" t="s">
        <v>46</v>
      </c>
      <c r="G15" s="3" t="s">
        <v>44</v>
      </c>
      <c r="H15" s="3" t="s">
        <v>11</v>
      </c>
      <c r="I15" s="3" t="s">
        <v>38</v>
      </c>
      <c r="J15" s="3" t="s">
        <v>47</v>
      </c>
      <c r="K15" s="3">
        <v>270.72000000000003</v>
      </c>
    </row>
    <row r="16" spans="1:11" x14ac:dyDescent="0.35">
      <c r="A16"/>
      <c r="E16" s="2">
        <v>42490</v>
      </c>
      <c r="F16" s="3" t="s">
        <v>48</v>
      </c>
      <c r="G16" s="3" t="s">
        <v>15</v>
      </c>
      <c r="H16" s="3" t="s">
        <v>49</v>
      </c>
      <c r="I16" s="3" t="s">
        <v>50</v>
      </c>
      <c r="J16" s="3" t="s">
        <v>51</v>
      </c>
      <c r="K16" s="3">
        <v>26.135999999999999</v>
      </c>
    </row>
    <row r="17" spans="1:11" x14ac:dyDescent="0.35">
      <c r="A17"/>
      <c r="E17" s="2">
        <v>42492</v>
      </c>
      <c r="F17" s="3" t="s">
        <v>52</v>
      </c>
      <c r="G17" s="3" t="s">
        <v>10</v>
      </c>
      <c r="H17" s="3" t="s">
        <v>11</v>
      </c>
      <c r="I17" s="3" t="s">
        <v>20</v>
      </c>
      <c r="J17" s="3" t="s">
        <v>21</v>
      </c>
      <c r="K17" s="3">
        <v>57.68</v>
      </c>
    </row>
    <row r="18" spans="1:11" x14ac:dyDescent="0.35">
      <c r="A18"/>
      <c r="E18" s="2">
        <v>42499</v>
      </c>
      <c r="F18" s="3" t="s">
        <v>53</v>
      </c>
      <c r="G18" s="3" t="s">
        <v>10</v>
      </c>
      <c r="H18" s="3" t="s">
        <v>49</v>
      </c>
      <c r="I18" s="3" t="s">
        <v>54</v>
      </c>
      <c r="J18" s="3" t="s">
        <v>55</v>
      </c>
      <c r="K18" s="3">
        <v>35.909999999999997</v>
      </c>
    </row>
    <row r="19" spans="1:11" x14ac:dyDescent="0.35">
      <c r="A19"/>
      <c r="E19" s="2">
        <v>42508</v>
      </c>
      <c r="F19" s="3" t="s">
        <v>56</v>
      </c>
      <c r="G19" s="3" t="s">
        <v>10</v>
      </c>
      <c r="H19" s="3" t="s">
        <v>49</v>
      </c>
      <c r="I19" s="3" t="s">
        <v>57</v>
      </c>
      <c r="J19" s="3" t="s">
        <v>58</v>
      </c>
      <c r="K19" s="3">
        <v>33.28</v>
      </c>
    </row>
    <row r="20" spans="1:11" x14ac:dyDescent="0.35">
      <c r="A20"/>
      <c r="E20" s="2">
        <v>42509</v>
      </c>
      <c r="F20" s="3" t="s">
        <v>59</v>
      </c>
      <c r="G20" s="3" t="s">
        <v>44</v>
      </c>
      <c r="H20" s="3" t="s">
        <v>49</v>
      </c>
      <c r="I20" s="3" t="s">
        <v>60</v>
      </c>
      <c r="J20" s="3" t="s">
        <v>61</v>
      </c>
      <c r="K20" s="3">
        <v>245.88</v>
      </c>
    </row>
    <row r="21" spans="1:11" x14ac:dyDescent="0.35">
      <c r="A21"/>
      <c r="E21" s="2">
        <v>42511</v>
      </c>
      <c r="F21" s="3" t="s">
        <v>62</v>
      </c>
      <c r="G21" s="3" t="s">
        <v>15</v>
      </c>
      <c r="H21" s="3" t="s">
        <v>49</v>
      </c>
      <c r="I21" s="3" t="s">
        <v>54</v>
      </c>
      <c r="J21" s="3" t="s">
        <v>63</v>
      </c>
      <c r="K21" s="3">
        <v>208.16</v>
      </c>
    </row>
    <row r="22" spans="1:11" x14ac:dyDescent="0.35">
      <c r="A22"/>
      <c r="E22" s="2">
        <v>42513</v>
      </c>
      <c r="F22" s="3" t="s">
        <v>64</v>
      </c>
      <c r="G22" s="3" t="s">
        <v>15</v>
      </c>
      <c r="H22" s="3" t="s">
        <v>16</v>
      </c>
      <c r="I22" s="3" t="s">
        <v>65</v>
      </c>
      <c r="J22" s="3" t="s">
        <v>66</v>
      </c>
      <c r="K22" s="3">
        <v>75.599999999999994</v>
      </c>
    </row>
    <row r="23" spans="1:11" x14ac:dyDescent="0.35">
      <c r="A23"/>
      <c r="E23" s="2">
        <v>42518</v>
      </c>
      <c r="F23" s="3" t="s">
        <v>67</v>
      </c>
      <c r="G23" s="3" t="s">
        <v>10</v>
      </c>
      <c r="H23" s="3" t="s">
        <v>49</v>
      </c>
      <c r="I23" s="3" t="s">
        <v>54</v>
      </c>
      <c r="J23" s="3" t="s">
        <v>63</v>
      </c>
      <c r="K23" s="3">
        <v>235.95</v>
      </c>
    </row>
    <row r="24" spans="1:11" x14ac:dyDescent="0.35">
      <c r="A24"/>
      <c r="E24" s="2">
        <v>42520</v>
      </c>
      <c r="F24" s="3" t="s">
        <v>68</v>
      </c>
      <c r="G24" s="3" t="s">
        <v>44</v>
      </c>
      <c r="H24" s="3" t="s">
        <v>16</v>
      </c>
      <c r="I24" s="3" t="s">
        <v>32</v>
      </c>
      <c r="J24" s="3" t="s">
        <v>33</v>
      </c>
      <c r="K24" s="3">
        <v>1503.25</v>
      </c>
    </row>
    <row r="25" spans="1:11" x14ac:dyDescent="0.35">
      <c r="A25"/>
      <c r="E25" s="2">
        <v>42520</v>
      </c>
      <c r="F25" s="3" t="s">
        <v>69</v>
      </c>
      <c r="G25" s="3" t="s">
        <v>10</v>
      </c>
      <c r="H25" s="3" t="s">
        <v>16</v>
      </c>
      <c r="I25" s="3" t="s">
        <v>17</v>
      </c>
      <c r="J25" s="3" t="s">
        <v>70</v>
      </c>
      <c r="K25" s="3">
        <v>65.52</v>
      </c>
    </row>
    <row r="26" spans="1:11" x14ac:dyDescent="0.35">
      <c r="A26"/>
      <c r="E26" s="2">
        <v>42523</v>
      </c>
      <c r="F26" s="3" t="s">
        <v>71</v>
      </c>
      <c r="G26" s="3" t="s">
        <v>15</v>
      </c>
      <c r="H26" s="3" t="s">
        <v>49</v>
      </c>
      <c r="I26" s="3" t="s">
        <v>54</v>
      </c>
      <c r="J26" s="3" t="s">
        <v>63</v>
      </c>
      <c r="K26" s="3">
        <v>15.56</v>
      </c>
    </row>
    <row r="27" spans="1:11" x14ac:dyDescent="0.35">
      <c r="A27"/>
      <c r="E27" s="2">
        <v>42528</v>
      </c>
      <c r="F27" s="3" t="s">
        <v>72</v>
      </c>
      <c r="G27" s="3" t="s">
        <v>15</v>
      </c>
      <c r="H27" s="3" t="s">
        <v>11</v>
      </c>
      <c r="I27" s="3" t="s">
        <v>38</v>
      </c>
      <c r="J27" s="3" t="s">
        <v>45</v>
      </c>
      <c r="K27" s="3">
        <v>114.9</v>
      </c>
    </row>
    <row r="28" spans="1:11" x14ac:dyDescent="0.35">
      <c r="A28"/>
      <c r="E28" s="2">
        <v>42539</v>
      </c>
      <c r="F28" s="3" t="s">
        <v>73</v>
      </c>
      <c r="G28" s="3" t="s">
        <v>15</v>
      </c>
      <c r="H28" s="3" t="s">
        <v>16</v>
      </c>
      <c r="I28" s="3" t="s">
        <v>74</v>
      </c>
      <c r="J28" s="3" t="s">
        <v>75</v>
      </c>
      <c r="K28" s="3">
        <v>471.9</v>
      </c>
    </row>
    <row r="29" spans="1:11" x14ac:dyDescent="0.35">
      <c r="A29"/>
      <c r="E29" s="2">
        <v>42540</v>
      </c>
      <c r="F29" s="3" t="s">
        <v>76</v>
      </c>
      <c r="G29" s="3" t="s">
        <v>15</v>
      </c>
      <c r="H29" s="3" t="s">
        <v>49</v>
      </c>
      <c r="I29" s="3" t="s">
        <v>77</v>
      </c>
      <c r="J29" s="3" t="s">
        <v>78</v>
      </c>
      <c r="K29" s="3">
        <v>44.415999999999997</v>
      </c>
    </row>
    <row r="30" spans="1:11" x14ac:dyDescent="0.35">
      <c r="A30"/>
      <c r="E30" s="2">
        <v>42540</v>
      </c>
      <c r="F30" s="3" t="s">
        <v>79</v>
      </c>
      <c r="G30" s="3" t="s">
        <v>15</v>
      </c>
      <c r="H30" s="3" t="s">
        <v>49</v>
      </c>
      <c r="I30" s="3" t="s">
        <v>54</v>
      </c>
      <c r="J30" s="3" t="s">
        <v>63</v>
      </c>
      <c r="K30" s="3">
        <v>59.7</v>
      </c>
    </row>
    <row r="31" spans="1:11" x14ac:dyDescent="0.35">
      <c r="A31"/>
      <c r="E31" s="2">
        <v>42553</v>
      </c>
      <c r="F31" s="3" t="s">
        <v>80</v>
      </c>
      <c r="G31" s="3" t="s">
        <v>10</v>
      </c>
      <c r="H31" s="3" t="s">
        <v>11</v>
      </c>
      <c r="I31" s="3" t="s">
        <v>81</v>
      </c>
      <c r="J31" s="3" t="s">
        <v>82</v>
      </c>
      <c r="K31" s="3">
        <v>32.432000000000002</v>
      </c>
    </row>
    <row r="32" spans="1:11" x14ac:dyDescent="0.35">
      <c r="A32"/>
      <c r="E32" s="2">
        <v>42563</v>
      </c>
      <c r="F32" s="3" t="s">
        <v>83</v>
      </c>
      <c r="G32" s="3" t="s">
        <v>44</v>
      </c>
      <c r="H32" s="3" t="s">
        <v>49</v>
      </c>
      <c r="I32" s="3" t="s">
        <v>84</v>
      </c>
      <c r="J32" s="3" t="s">
        <v>85</v>
      </c>
      <c r="K32" s="3">
        <v>39.479999999999997</v>
      </c>
    </row>
    <row r="33" spans="1:11" x14ac:dyDescent="0.35">
      <c r="A33"/>
      <c r="E33" s="2">
        <v>42570</v>
      </c>
      <c r="F33" s="3" t="s">
        <v>86</v>
      </c>
      <c r="G33" s="3" t="s">
        <v>10</v>
      </c>
      <c r="H33" s="3" t="s">
        <v>16</v>
      </c>
      <c r="I33" s="3" t="s">
        <v>23</v>
      </c>
      <c r="J33" s="3" t="s">
        <v>24</v>
      </c>
      <c r="K33" s="3">
        <v>4.992</v>
      </c>
    </row>
    <row r="34" spans="1:11" x14ac:dyDescent="0.35">
      <c r="A34"/>
      <c r="E34" s="2">
        <v>42575</v>
      </c>
      <c r="F34" s="3" t="s">
        <v>87</v>
      </c>
      <c r="G34" s="3" t="s">
        <v>15</v>
      </c>
      <c r="H34" s="3" t="s">
        <v>16</v>
      </c>
      <c r="I34" s="3" t="s">
        <v>23</v>
      </c>
      <c r="J34" s="3" t="s">
        <v>88</v>
      </c>
      <c r="K34" s="3">
        <v>4.8360000000000003</v>
      </c>
    </row>
    <row r="35" spans="1:11" x14ac:dyDescent="0.35">
      <c r="A35"/>
      <c r="E35" s="2">
        <v>42581</v>
      </c>
      <c r="F35" s="3" t="s">
        <v>89</v>
      </c>
      <c r="G35" s="3" t="s">
        <v>10</v>
      </c>
      <c r="H35" s="3" t="s">
        <v>28</v>
      </c>
      <c r="I35" s="3" t="s">
        <v>90</v>
      </c>
      <c r="J35" s="3" t="s">
        <v>91</v>
      </c>
      <c r="K35" s="3">
        <v>62.92</v>
      </c>
    </row>
    <row r="36" spans="1:11" x14ac:dyDescent="0.35">
      <c r="A36"/>
      <c r="E36" s="2">
        <v>42583</v>
      </c>
      <c r="F36" s="3" t="s">
        <v>92</v>
      </c>
      <c r="G36" s="3" t="s">
        <v>15</v>
      </c>
      <c r="H36" s="3" t="s">
        <v>11</v>
      </c>
      <c r="I36" s="3" t="s">
        <v>81</v>
      </c>
      <c r="J36" s="3" t="s">
        <v>93</v>
      </c>
      <c r="K36" s="3">
        <v>2.6</v>
      </c>
    </row>
    <row r="37" spans="1:11" x14ac:dyDescent="0.35">
      <c r="A37"/>
      <c r="E37" s="2">
        <v>42584</v>
      </c>
      <c r="F37" s="3" t="s">
        <v>94</v>
      </c>
      <c r="G37" s="3" t="s">
        <v>15</v>
      </c>
      <c r="H37" s="3" t="s">
        <v>11</v>
      </c>
      <c r="I37" s="3" t="s">
        <v>95</v>
      </c>
      <c r="J37" s="3" t="s">
        <v>96</v>
      </c>
      <c r="K37" s="3">
        <v>1089.75</v>
      </c>
    </row>
    <row r="38" spans="1:11" x14ac:dyDescent="0.35">
      <c r="A38"/>
      <c r="E38" s="2">
        <v>42584</v>
      </c>
      <c r="F38" s="3" t="s">
        <v>19</v>
      </c>
      <c r="G38" s="3" t="s">
        <v>10</v>
      </c>
      <c r="H38" s="3" t="s">
        <v>49</v>
      </c>
      <c r="I38" s="3" t="s">
        <v>97</v>
      </c>
      <c r="J38" s="3" t="s">
        <v>98</v>
      </c>
      <c r="K38" s="3">
        <v>101.96</v>
      </c>
    </row>
    <row r="39" spans="1:11" x14ac:dyDescent="0.35">
      <c r="A39"/>
      <c r="E39" s="2">
        <v>42585</v>
      </c>
      <c r="F39" s="3" t="s">
        <v>99</v>
      </c>
      <c r="G39" s="3" t="s">
        <v>10</v>
      </c>
      <c r="H39" s="3" t="s">
        <v>49</v>
      </c>
      <c r="I39" s="3" t="s">
        <v>100</v>
      </c>
      <c r="J39" s="3" t="s">
        <v>101</v>
      </c>
      <c r="K39" s="3">
        <v>79.47</v>
      </c>
    </row>
    <row r="40" spans="1:11" x14ac:dyDescent="0.35">
      <c r="A40"/>
      <c r="E40" s="2">
        <v>42588</v>
      </c>
      <c r="F40" s="3" t="s">
        <v>102</v>
      </c>
      <c r="G40" s="3" t="s">
        <v>15</v>
      </c>
      <c r="H40" s="3" t="s">
        <v>11</v>
      </c>
      <c r="I40" s="3" t="s">
        <v>38</v>
      </c>
      <c r="J40" s="3" t="s">
        <v>103</v>
      </c>
      <c r="K40" s="3">
        <v>76.12</v>
      </c>
    </row>
    <row r="41" spans="1:11" x14ac:dyDescent="0.35">
      <c r="A41"/>
      <c r="E41" s="2">
        <v>42588</v>
      </c>
      <c r="F41" s="3" t="s">
        <v>104</v>
      </c>
      <c r="G41" s="3" t="s">
        <v>44</v>
      </c>
      <c r="H41" s="3" t="s">
        <v>16</v>
      </c>
      <c r="I41" s="3" t="s">
        <v>17</v>
      </c>
      <c r="J41" s="3" t="s">
        <v>105</v>
      </c>
      <c r="K41" s="3">
        <v>167.535</v>
      </c>
    </row>
    <row r="42" spans="1:11" x14ac:dyDescent="0.35">
      <c r="A42"/>
      <c r="E42" s="2">
        <v>42592</v>
      </c>
      <c r="F42" s="3" t="s">
        <v>106</v>
      </c>
      <c r="G42" s="3" t="s">
        <v>44</v>
      </c>
      <c r="H42" s="3" t="s">
        <v>28</v>
      </c>
      <c r="I42" s="3" t="s">
        <v>107</v>
      </c>
      <c r="J42" s="3" t="s">
        <v>108</v>
      </c>
      <c r="K42" s="3">
        <v>211.24799999999999</v>
      </c>
    </row>
    <row r="43" spans="1:11" x14ac:dyDescent="0.35">
      <c r="A43"/>
      <c r="E43" s="2">
        <v>42595</v>
      </c>
      <c r="F43" s="3" t="s">
        <v>109</v>
      </c>
      <c r="G43" s="3" t="s">
        <v>15</v>
      </c>
      <c r="H43" s="3" t="s">
        <v>28</v>
      </c>
      <c r="I43" s="3" t="s">
        <v>107</v>
      </c>
      <c r="J43" s="3" t="s">
        <v>110</v>
      </c>
      <c r="K43" s="3">
        <v>152.24</v>
      </c>
    </row>
    <row r="44" spans="1:11" x14ac:dyDescent="0.35">
      <c r="A44"/>
      <c r="E44" s="2">
        <v>42613</v>
      </c>
      <c r="F44" s="3" t="s">
        <v>111</v>
      </c>
      <c r="G44" s="3" t="s">
        <v>15</v>
      </c>
      <c r="H44" s="3" t="s">
        <v>49</v>
      </c>
      <c r="I44" s="3" t="s">
        <v>54</v>
      </c>
      <c r="J44" s="3" t="s">
        <v>55</v>
      </c>
      <c r="K44" s="3">
        <v>19.899999999999999</v>
      </c>
    </row>
    <row r="45" spans="1:11" x14ac:dyDescent="0.35">
      <c r="A45"/>
      <c r="E45" s="2">
        <v>42619</v>
      </c>
      <c r="F45" s="3" t="s">
        <v>112</v>
      </c>
      <c r="G45" s="3" t="s">
        <v>15</v>
      </c>
      <c r="H45" s="3" t="s">
        <v>16</v>
      </c>
      <c r="I45" s="3" t="s">
        <v>23</v>
      </c>
      <c r="J45" s="3" t="s">
        <v>88</v>
      </c>
      <c r="K45" s="3">
        <v>177.98</v>
      </c>
    </row>
    <row r="46" spans="1:11" x14ac:dyDescent="0.35">
      <c r="A46"/>
      <c r="E46" s="2">
        <v>42619</v>
      </c>
      <c r="F46" s="3" t="s">
        <v>113</v>
      </c>
      <c r="G46" s="3" t="s">
        <v>44</v>
      </c>
      <c r="H46" s="3" t="s">
        <v>11</v>
      </c>
      <c r="I46" s="3" t="s">
        <v>38</v>
      </c>
      <c r="J46" s="3" t="s">
        <v>39</v>
      </c>
      <c r="K46" s="3">
        <v>56.65</v>
      </c>
    </row>
    <row r="47" spans="1:11" x14ac:dyDescent="0.35">
      <c r="A47"/>
      <c r="E47" s="2">
        <v>42619</v>
      </c>
      <c r="F47" s="3" t="s">
        <v>114</v>
      </c>
      <c r="G47" s="3" t="s">
        <v>10</v>
      </c>
      <c r="H47" s="3" t="s">
        <v>49</v>
      </c>
      <c r="I47" s="3" t="s">
        <v>54</v>
      </c>
      <c r="J47" s="3" t="s">
        <v>115</v>
      </c>
      <c r="K47" s="3">
        <v>16.78</v>
      </c>
    </row>
    <row r="48" spans="1:11" x14ac:dyDescent="0.35">
      <c r="A48"/>
      <c r="E48" s="2">
        <v>42621</v>
      </c>
      <c r="F48" s="3" t="s">
        <v>116</v>
      </c>
      <c r="G48" s="3" t="s">
        <v>15</v>
      </c>
      <c r="H48" s="3" t="s">
        <v>49</v>
      </c>
      <c r="I48" s="3" t="s">
        <v>117</v>
      </c>
      <c r="J48" s="3" t="s">
        <v>118</v>
      </c>
      <c r="K48" s="3">
        <v>81.92</v>
      </c>
    </row>
    <row r="49" spans="1:11" x14ac:dyDescent="0.35">
      <c r="A49"/>
      <c r="E49" s="2">
        <v>42623</v>
      </c>
      <c r="F49" s="3" t="s">
        <v>119</v>
      </c>
      <c r="G49" s="3" t="s">
        <v>10</v>
      </c>
      <c r="H49" s="3" t="s">
        <v>28</v>
      </c>
      <c r="I49" s="3" t="s">
        <v>90</v>
      </c>
      <c r="J49" s="3" t="s">
        <v>120</v>
      </c>
      <c r="K49" s="3">
        <v>166.84</v>
      </c>
    </row>
    <row r="50" spans="1:11" x14ac:dyDescent="0.35">
      <c r="A50"/>
      <c r="E50" s="2">
        <v>42624</v>
      </c>
      <c r="F50" s="3" t="s">
        <v>121</v>
      </c>
      <c r="G50" s="3" t="s">
        <v>15</v>
      </c>
      <c r="H50" s="3" t="s">
        <v>11</v>
      </c>
      <c r="I50" s="3" t="s">
        <v>20</v>
      </c>
      <c r="J50" s="3" t="s">
        <v>21</v>
      </c>
      <c r="K50" s="3">
        <v>22.66</v>
      </c>
    </row>
    <row r="51" spans="1:11" x14ac:dyDescent="0.35">
      <c r="A51"/>
      <c r="E51" s="2">
        <v>42625</v>
      </c>
      <c r="F51" s="3" t="s">
        <v>122</v>
      </c>
      <c r="G51" s="3" t="s">
        <v>10</v>
      </c>
      <c r="H51" s="3" t="s">
        <v>16</v>
      </c>
      <c r="I51" s="3" t="s">
        <v>65</v>
      </c>
      <c r="J51" s="3" t="s">
        <v>66</v>
      </c>
      <c r="K51" s="3">
        <v>52.448</v>
      </c>
    </row>
    <row r="52" spans="1:11" x14ac:dyDescent="0.35">
      <c r="A52"/>
      <c r="E52" s="2">
        <v>42625</v>
      </c>
      <c r="F52" s="3" t="s">
        <v>123</v>
      </c>
      <c r="G52" s="3" t="s">
        <v>15</v>
      </c>
      <c r="H52" s="3" t="s">
        <v>28</v>
      </c>
      <c r="I52" s="3" t="s">
        <v>107</v>
      </c>
      <c r="J52" s="3" t="s">
        <v>124</v>
      </c>
      <c r="K52" s="3">
        <v>13</v>
      </c>
    </row>
    <row r="53" spans="1:11" x14ac:dyDescent="0.35">
      <c r="A53"/>
      <c r="E53" s="2">
        <v>42625</v>
      </c>
      <c r="F53" s="3" t="s">
        <v>125</v>
      </c>
      <c r="G53" s="3" t="s">
        <v>15</v>
      </c>
      <c r="H53" s="3" t="s">
        <v>49</v>
      </c>
      <c r="I53" s="3" t="s">
        <v>54</v>
      </c>
      <c r="J53" s="3" t="s">
        <v>63</v>
      </c>
      <c r="K53" s="3">
        <v>601.29999999999995</v>
      </c>
    </row>
    <row r="54" spans="1:11" x14ac:dyDescent="0.35">
      <c r="A54"/>
      <c r="E54" s="2">
        <v>42631</v>
      </c>
      <c r="F54" s="3" t="s">
        <v>126</v>
      </c>
      <c r="G54" s="3" t="s">
        <v>44</v>
      </c>
      <c r="H54" s="3" t="s">
        <v>11</v>
      </c>
      <c r="I54" s="3" t="s">
        <v>38</v>
      </c>
      <c r="J54" s="3" t="s">
        <v>45</v>
      </c>
      <c r="K54" s="3">
        <v>43.92</v>
      </c>
    </row>
    <row r="55" spans="1:11" x14ac:dyDescent="0.35">
      <c r="A55"/>
      <c r="E55" s="2">
        <v>42631</v>
      </c>
      <c r="F55" s="3" t="s">
        <v>127</v>
      </c>
      <c r="G55" s="3" t="s">
        <v>15</v>
      </c>
      <c r="H55" s="3" t="s">
        <v>49</v>
      </c>
      <c r="I55" s="3" t="s">
        <v>54</v>
      </c>
      <c r="J55" s="3" t="s">
        <v>63</v>
      </c>
      <c r="K55" s="3">
        <v>30.98</v>
      </c>
    </row>
    <row r="56" spans="1:11" x14ac:dyDescent="0.35">
      <c r="A56"/>
      <c r="E56" s="2">
        <v>42632</v>
      </c>
      <c r="F56" s="3" t="s">
        <v>128</v>
      </c>
      <c r="G56" s="3" t="s">
        <v>10</v>
      </c>
      <c r="H56" s="3" t="s">
        <v>16</v>
      </c>
      <c r="I56" s="3" t="s">
        <v>129</v>
      </c>
      <c r="J56" s="3" t="s">
        <v>130</v>
      </c>
      <c r="K56" s="3">
        <v>25.96</v>
      </c>
    </row>
    <row r="57" spans="1:11" x14ac:dyDescent="0.35">
      <c r="A57"/>
      <c r="E57" s="2">
        <v>42632</v>
      </c>
      <c r="F57" s="3" t="s">
        <v>128</v>
      </c>
      <c r="G57" s="3" t="s">
        <v>10</v>
      </c>
      <c r="H57" s="3" t="s">
        <v>16</v>
      </c>
      <c r="I57" s="3" t="s">
        <v>129</v>
      </c>
      <c r="J57" s="3" t="s">
        <v>130</v>
      </c>
      <c r="K57" s="3">
        <v>36.270000000000003</v>
      </c>
    </row>
    <row r="58" spans="1:11" x14ac:dyDescent="0.35">
      <c r="A58"/>
      <c r="E58" s="2">
        <v>42637</v>
      </c>
      <c r="F58" s="3" t="s">
        <v>131</v>
      </c>
      <c r="G58" s="3" t="s">
        <v>10</v>
      </c>
      <c r="H58" s="3" t="s">
        <v>49</v>
      </c>
      <c r="I58" s="3" t="s">
        <v>77</v>
      </c>
      <c r="J58" s="3" t="s">
        <v>78</v>
      </c>
      <c r="K58" s="3">
        <v>143.952</v>
      </c>
    </row>
    <row r="59" spans="1:11" x14ac:dyDescent="0.35">
      <c r="A59"/>
      <c r="E59" s="2">
        <v>42637</v>
      </c>
      <c r="F59" s="3" t="s">
        <v>132</v>
      </c>
      <c r="G59" s="3" t="s">
        <v>10</v>
      </c>
      <c r="H59" s="3" t="s">
        <v>49</v>
      </c>
      <c r="I59" s="3" t="s">
        <v>77</v>
      </c>
      <c r="J59" s="3" t="s">
        <v>78</v>
      </c>
      <c r="K59" s="3">
        <v>41.375999999999998</v>
      </c>
    </row>
    <row r="60" spans="1:11" x14ac:dyDescent="0.35">
      <c r="A60"/>
      <c r="E60" s="2">
        <v>42637</v>
      </c>
      <c r="F60" s="3" t="s">
        <v>133</v>
      </c>
      <c r="G60" s="3" t="s">
        <v>44</v>
      </c>
      <c r="H60" s="3" t="s">
        <v>49</v>
      </c>
      <c r="I60" s="3" t="s">
        <v>50</v>
      </c>
      <c r="J60" s="3" t="s">
        <v>134</v>
      </c>
      <c r="K60" s="3">
        <v>16.704000000000001</v>
      </c>
    </row>
    <row r="61" spans="1:11" x14ac:dyDescent="0.35">
      <c r="A61"/>
      <c r="E61" s="2">
        <v>42641</v>
      </c>
      <c r="F61" s="3" t="s">
        <v>135</v>
      </c>
      <c r="G61" s="3" t="s">
        <v>15</v>
      </c>
      <c r="H61" s="3" t="s">
        <v>28</v>
      </c>
      <c r="I61" s="3" t="s">
        <v>136</v>
      </c>
      <c r="J61" s="3" t="s">
        <v>137</v>
      </c>
      <c r="K61" s="3">
        <v>69.215999999999994</v>
      </c>
    </row>
    <row r="62" spans="1:11" x14ac:dyDescent="0.35">
      <c r="A62"/>
      <c r="E62" s="2">
        <v>42641</v>
      </c>
      <c r="F62" s="3" t="s">
        <v>138</v>
      </c>
      <c r="G62" s="3" t="s">
        <v>10</v>
      </c>
      <c r="H62" s="3" t="s">
        <v>49</v>
      </c>
      <c r="I62" s="3" t="s">
        <v>50</v>
      </c>
      <c r="J62" s="3" t="s">
        <v>139</v>
      </c>
      <c r="K62" s="3">
        <v>795.40800000000002</v>
      </c>
    </row>
    <row r="63" spans="1:11" x14ac:dyDescent="0.35">
      <c r="A63"/>
      <c r="E63" s="2">
        <v>42646</v>
      </c>
      <c r="F63" s="3" t="s">
        <v>140</v>
      </c>
      <c r="G63" s="3" t="s">
        <v>15</v>
      </c>
      <c r="H63" s="3" t="s">
        <v>49</v>
      </c>
      <c r="I63" s="3" t="s">
        <v>50</v>
      </c>
      <c r="J63" s="3" t="s">
        <v>51</v>
      </c>
      <c r="K63" s="3">
        <v>91.92</v>
      </c>
    </row>
    <row r="64" spans="1:11" x14ac:dyDescent="0.35">
      <c r="A64"/>
      <c r="E64" s="2">
        <v>42654</v>
      </c>
      <c r="F64" s="3" t="s">
        <v>141</v>
      </c>
      <c r="G64" s="3" t="s">
        <v>15</v>
      </c>
      <c r="H64" s="3" t="s">
        <v>11</v>
      </c>
      <c r="I64" s="3" t="s">
        <v>20</v>
      </c>
      <c r="J64" s="3" t="s">
        <v>142</v>
      </c>
      <c r="K64" s="3">
        <v>213.92</v>
      </c>
    </row>
    <row r="65" spans="1:11" x14ac:dyDescent="0.35">
      <c r="A65"/>
      <c r="E65" s="2">
        <v>42655</v>
      </c>
      <c r="F65" s="3" t="s">
        <v>143</v>
      </c>
      <c r="G65" s="3" t="s">
        <v>15</v>
      </c>
      <c r="H65" s="3" t="s">
        <v>16</v>
      </c>
      <c r="I65" s="3" t="s">
        <v>23</v>
      </c>
      <c r="J65" s="3" t="s">
        <v>144</v>
      </c>
      <c r="K65" s="3">
        <v>3.16</v>
      </c>
    </row>
    <row r="66" spans="1:11" x14ac:dyDescent="0.35">
      <c r="A66"/>
      <c r="E66" s="2">
        <v>42662</v>
      </c>
      <c r="F66" s="3" t="s">
        <v>145</v>
      </c>
      <c r="G66" s="3" t="s">
        <v>15</v>
      </c>
      <c r="H66" s="3" t="s">
        <v>49</v>
      </c>
      <c r="I66" s="3" t="s">
        <v>50</v>
      </c>
      <c r="J66" s="3" t="s">
        <v>139</v>
      </c>
      <c r="K66" s="3">
        <v>121.792</v>
      </c>
    </row>
    <row r="67" spans="1:11" x14ac:dyDescent="0.35">
      <c r="A67"/>
      <c r="E67" s="2">
        <v>42673</v>
      </c>
      <c r="F67" s="3" t="s">
        <v>146</v>
      </c>
      <c r="G67" s="3" t="s">
        <v>15</v>
      </c>
      <c r="H67" s="3" t="s">
        <v>49</v>
      </c>
      <c r="I67" s="3" t="s">
        <v>54</v>
      </c>
      <c r="J67" s="3" t="s">
        <v>115</v>
      </c>
      <c r="K67" s="3">
        <v>533.94000000000005</v>
      </c>
    </row>
    <row r="68" spans="1:11" x14ac:dyDescent="0.35">
      <c r="A68"/>
      <c r="E68" s="2">
        <v>42673</v>
      </c>
      <c r="F68" s="3" t="s">
        <v>147</v>
      </c>
      <c r="G68" s="3" t="s">
        <v>10</v>
      </c>
      <c r="H68" s="3" t="s">
        <v>49</v>
      </c>
      <c r="I68" s="3" t="s">
        <v>117</v>
      </c>
      <c r="J68" s="3" t="s">
        <v>148</v>
      </c>
      <c r="K68" s="3">
        <v>76.12</v>
      </c>
    </row>
    <row r="69" spans="1:11" x14ac:dyDescent="0.35">
      <c r="A69"/>
      <c r="E69" s="2">
        <v>42676</v>
      </c>
      <c r="F69" s="3" t="s">
        <v>149</v>
      </c>
      <c r="G69" s="3" t="s">
        <v>10</v>
      </c>
      <c r="H69" s="3" t="s">
        <v>28</v>
      </c>
      <c r="I69" s="3" t="s">
        <v>90</v>
      </c>
      <c r="J69" s="3" t="s">
        <v>120</v>
      </c>
      <c r="K69" s="3">
        <v>58.24</v>
      </c>
    </row>
    <row r="70" spans="1:11" x14ac:dyDescent="0.35">
      <c r="A70"/>
      <c r="E70" s="2">
        <v>42679</v>
      </c>
      <c r="F70" s="3" t="s">
        <v>150</v>
      </c>
      <c r="G70" s="3" t="s">
        <v>15</v>
      </c>
      <c r="H70" s="3" t="s">
        <v>16</v>
      </c>
      <c r="I70" s="3" t="s">
        <v>151</v>
      </c>
      <c r="J70" s="3" t="s">
        <v>152</v>
      </c>
      <c r="K70" s="3">
        <v>245.88</v>
      </c>
    </row>
    <row r="71" spans="1:11" x14ac:dyDescent="0.35">
      <c r="A71"/>
      <c r="E71" s="2">
        <v>42683</v>
      </c>
      <c r="F71" s="3" t="s">
        <v>104</v>
      </c>
      <c r="G71" s="3" t="s">
        <v>44</v>
      </c>
      <c r="H71" s="3" t="s">
        <v>11</v>
      </c>
      <c r="I71" s="3" t="s">
        <v>38</v>
      </c>
      <c r="J71" s="3" t="s">
        <v>45</v>
      </c>
      <c r="K71" s="3">
        <v>7.78</v>
      </c>
    </row>
    <row r="72" spans="1:11" x14ac:dyDescent="0.35">
      <c r="A72"/>
      <c r="E72" s="2">
        <v>42683</v>
      </c>
      <c r="F72" s="3" t="s">
        <v>153</v>
      </c>
      <c r="G72" s="3" t="s">
        <v>10</v>
      </c>
      <c r="H72" s="3" t="s">
        <v>11</v>
      </c>
      <c r="I72" s="3" t="s">
        <v>20</v>
      </c>
      <c r="J72" s="3" t="s">
        <v>21</v>
      </c>
      <c r="K72" s="3">
        <v>22.98</v>
      </c>
    </row>
    <row r="73" spans="1:11" x14ac:dyDescent="0.35">
      <c r="A73"/>
      <c r="E73" s="2">
        <v>42687</v>
      </c>
      <c r="F73" s="3" t="s">
        <v>154</v>
      </c>
      <c r="G73" s="3" t="s">
        <v>15</v>
      </c>
      <c r="H73" s="3" t="s">
        <v>28</v>
      </c>
      <c r="I73" s="3" t="s">
        <v>136</v>
      </c>
      <c r="J73" s="3" t="s">
        <v>155</v>
      </c>
      <c r="K73" s="3">
        <v>333.05599999999998</v>
      </c>
    </row>
    <row r="74" spans="1:11" x14ac:dyDescent="0.35">
      <c r="A74"/>
      <c r="E74" s="2">
        <v>42689</v>
      </c>
      <c r="F74" s="3" t="s">
        <v>156</v>
      </c>
      <c r="G74" s="3" t="s">
        <v>10</v>
      </c>
      <c r="H74" s="3" t="s">
        <v>11</v>
      </c>
      <c r="I74" s="3" t="s">
        <v>38</v>
      </c>
      <c r="J74" s="3" t="s">
        <v>39</v>
      </c>
      <c r="K74" s="3">
        <v>241.44</v>
      </c>
    </row>
    <row r="75" spans="1:11" x14ac:dyDescent="0.35">
      <c r="A75"/>
      <c r="E75" s="2">
        <v>42694</v>
      </c>
      <c r="F75" s="3" t="s">
        <v>157</v>
      </c>
      <c r="G75" s="3" t="s">
        <v>10</v>
      </c>
      <c r="H75" s="3" t="s">
        <v>28</v>
      </c>
      <c r="I75" s="3" t="s">
        <v>41</v>
      </c>
      <c r="J75" s="3" t="s">
        <v>51</v>
      </c>
      <c r="K75" s="3">
        <v>675.12</v>
      </c>
    </row>
    <row r="76" spans="1:11" x14ac:dyDescent="0.35">
      <c r="A76"/>
      <c r="E76" s="2">
        <v>42695</v>
      </c>
      <c r="F76" s="3" t="s">
        <v>158</v>
      </c>
      <c r="G76" s="3" t="s">
        <v>10</v>
      </c>
      <c r="H76" s="3" t="s">
        <v>16</v>
      </c>
      <c r="I76" s="3" t="s">
        <v>23</v>
      </c>
      <c r="J76" s="3" t="s">
        <v>159</v>
      </c>
      <c r="K76" s="3">
        <v>34.176000000000002</v>
      </c>
    </row>
    <row r="77" spans="1:11" x14ac:dyDescent="0.35">
      <c r="A77"/>
      <c r="E77" s="2">
        <v>42697</v>
      </c>
      <c r="F77" s="3" t="s">
        <v>67</v>
      </c>
      <c r="G77" s="3" t="s">
        <v>10</v>
      </c>
      <c r="H77" s="3" t="s">
        <v>11</v>
      </c>
      <c r="I77" s="3" t="s">
        <v>38</v>
      </c>
      <c r="J77" s="3" t="s">
        <v>160</v>
      </c>
      <c r="K77" s="3">
        <v>320.88</v>
      </c>
    </row>
    <row r="78" spans="1:11" x14ac:dyDescent="0.35">
      <c r="A78"/>
      <c r="E78" s="2">
        <v>42698</v>
      </c>
      <c r="F78" s="3" t="s">
        <v>161</v>
      </c>
      <c r="G78" s="3" t="s">
        <v>10</v>
      </c>
      <c r="H78" s="3" t="s">
        <v>11</v>
      </c>
      <c r="I78" s="3" t="s">
        <v>38</v>
      </c>
      <c r="J78" s="3" t="s">
        <v>162</v>
      </c>
      <c r="K78" s="3">
        <v>40.54</v>
      </c>
    </row>
    <row r="79" spans="1:11" x14ac:dyDescent="0.35">
      <c r="A79"/>
      <c r="E79" s="2">
        <v>42700</v>
      </c>
      <c r="F79" s="3" t="s">
        <v>163</v>
      </c>
      <c r="G79" s="3" t="s">
        <v>15</v>
      </c>
      <c r="H79" s="3" t="s">
        <v>11</v>
      </c>
      <c r="I79" s="3" t="s">
        <v>38</v>
      </c>
      <c r="J79" s="3" t="s">
        <v>39</v>
      </c>
      <c r="K79" s="3">
        <v>43.68</v>
      </c>
    </row>
    <row r="80" spans="1:11" x14ac:dyDescent="0.35">
      <c r="A80"/>
      <c r="E80" s="2">
        <v>42704</v>
      </c>
      <c r="F80" s="3" t="s">
        <v>164</v>
      </c>
      <c r="G80" s="3" t="s">
        <v>15</v>
      </c>
      <c r="H80" s="3" t="s">
        <v>16</v>
      </c>
      <c r="I80" s="3" t="s">
        <v>65</v>
      </c>
      <c r="J80" s="3" t="s">
        <v>66</v>
      </c>
      <c r="K80" s="3">
        <v>2.3940000000000001</v>
      </c>
    </row>
    <row r="81" spans="1:11" x14ac:dyDescent="0.35">
      <c r="A81"/>
      <c r="E81" s="2">
        <v>42707</v>
      </c>
      <c r="F81" s="3" t="s">
        <v>165</v>
      </c>
      <c r="G81" s="3" t="s">
        <v>15</v>
      </c>
      <c r="H81" s="3" t="s">
        <v>11</v>
      </c>
      <c r="I81" s="3" t="s">
        <v>38</v>
      </c>
      <c r="J81" s="3" t="s">
        <v>45</v>
      </c>
      <c r="K81" s="3">
        <v>250.26</v>
      </c>
    </row>
    <row r="82" spans="1:11" x14ac:dyDescent="0.35">
      <c r="A82"/>
      <c r="E82" s="2">
        <v>42708</v>
      </c>
      <c r="F82" s="3" t="s">
        <v>166</v>
      </c>
      <c r="G82" s="3" t="s">
        <v>15</v>
      </c>
      <c r="H82" s="3" t="s">
        <v>16</v>
      </c>
      <c r="I82" s="3" t="s">
        <v>65</v>
      </c>
      <c r="J82" s="3" t="s">
        <v>66</v>
      </c>
      <c r="K82" s="3">
        <v>14.016</v>
      </c>
    </row>
    <row r="83" spans="1:11" x14ac:dyDescent="0.35">
      <c r="A83"/>
      <c r="E83" s="2">
        <v>42711</v>
      </c>
      <c r="F83" s="3" t="s">
        <v>156</v>
      </c>
      <c r="G83" s="3" t="s">
        <v>10</v>
      </c>
      <c r="H83" s="3" t="s">
        <v>16</v>
      </c>
      <c r="I83" s="3" t="s">
        <v>65</v>
      </c>
      <c r="J83" s="3" t="s">
        <v>66</v>
      </c>
      <c r="K83" s="3">
        <v>20.388000000000002</v>
      </c>
    </row>
    <row r="84" spans="1:11" x14ac:dyDescent="0.35">
      <c r="A84"/>
      <c r="E84" s="2">
        <v>42722</v>
      </c>
      <c r="F84" s="3" t="s">
        <v>167</v>
      </c>
      <c r="G84" s="3" t="s">
        <v>15</v>
      </c>
      <c r="H84" s="3" t="s">
        <v>28</v>
      </c>
      <c r="I84" s="3" t="s">
        <v>136</v>
      </c>
      <c r="J84" s="3" t="s">
        <v>168</v>
      </c>
      <c r="K84" s="3">
        <v>43.512</v>
      </c>
    </row>
    <row r="85" spans="1:11" x14ac:dyDescent="0.35">
      <c r="A85"/>
      <c r="E85" s="2">
        <v>42722</v>
      </c>
      <c r="F85" s="3" t="s">
        <v>169</v>
      </c>
      <c r="G85" s="3" t="s">
        <v>15</v>
      </c>
      <c r="H85" s="3" t="s">
        <v>16</v>
      </c>
      <c r="I85" s="3" t="s">
        <v>23</v>
      </c>
      <c r="J85" s="3" t="s">
        <v>170</v>
      </c>
      <c r="K85" s="3">
        <v>19.431999999999999</v>
      </c>
    </row>
    <row r="86" spans="1:11" x14ac:dyDescent="0.35">
      <c r="A86"/>
      <c r="E86" s="2">
        <v>42725</v>
      </c>
      <c r="F86" s="3" t="s">
        <v>171</v>
      </c>
      <c r="G86" s="3" t="s">
        <v>15</v>
      </c>
      <c r="H86" s="3" t="s">
        <v>16</v>
      </c>
      <c r="I86" s="3" t="s">
        <v>172</v>
      </c>
      <c r="J86" s="3" t="s">
        <v>30</v>
      </c>
      <c r="K86" s="3">
        <v>207.24</v>
      </c>
    </row>
    <row r="87" spans="1:11" x14ac:dyDescent="0.35">
      <c r="A87"/>
      <c r="E87" s="2">
        <v>42725</v>
      </c>
      <c r="F87" s="3" t="s">
        <v>173</v>
      </c>
      <c r="G87" s="3" t="s">
        <v>10</v>
      </c>
      <c r="H87" s="3" t="s">
        <v>49</v>
      </c>
      <c r="I87" s="3" t="s">
        <v>54</v>
      </c>
      <c r="J87" s="3" t="s">
        <v>63</v>
      </c>
      <c r="K87" s="3">
        <v>56.52</v>
      </c>
    </row>
    <row r="88" spans="1:11" x14ac:dyDescent="0.35">
      <c r="A88"/>
      <c r="E88" s="2">
        <v>42726</v>
      </c>
      <c r="F88" s="3" t="s">
        <v>174</v>
      </c>
      <c r="G88" s="3" t="s">
        <v>44</v>
      </c>
      <c r="H88" s="3" t="s">
        <v>11</v>
      </c>
      <c r="I88" s="3" t="s">
        <v>38</v>
      </c>
      <c r="J88" s="3" t="s">
        <v>45</v>
      </c>
      <c r="K88" s="3">
        <v>361.96</v>
      </c>
    </row>
    <row r="89" spans="1:11" x14ac:dyDescent="0.35">
      <c r="A89"/>
      <c r="E89" s="2">
        <v>42726</v>
      </c>
      <c r="F89" s="3" t="s">
        <v>175</v>
      </c>
      <c r="G89" s="3" t="s">
        <v>15</v>
      </c>
      <c r="H89" s="3" t="s">
        <v>11</v>
      </c>
      <c r="I89" s="3" t="s">
        <v>38</v>
      </c>
      <c r="J89" s="3" t="s">
        <v>103</v>
      </c>
      <c r="K89" s="3">
        <v>13.97</v>
      </c>
    </row>
    <row r="90" spans="1:11" x14ac:dyDescent="0.35">
      <c r="A90"/>
      <c r="E90" s="2">
        <v>42728</v>
      </c>
      <c r="F90" s="3" t="s">
        <v>176</v>
      </c>
      <c r="G90" s="3" t="s">
        <v>15</v>
      </c>
      <c r="H90" s="3" t="s">
        <v>49</v>
      </c>
      <c r="I90" s="3" t="s">
        <v>77</v>
      </c>
      <c r="J90" s="3" t="s">
        <v>78</v>
      </c>
      <c r="K90" s="3">
        <v>34.655999999999999</v>
      </c>
    </row>
    <row r="91" spans="1:11" x14ac:dyDescent="0.35">
      <c r="A91"/>
      <c r="E91" s="2">
        <v>42728</v>
      </c>
      <c r="F91" s="3" t="s">
        <v>176</v>
      </c>
      <c r="G91" s="3" t="s">
        <v>15</v>
      </c>
      <c r="H91" s="3" t="s">
        <v>49</v>
      </c>
      <c r="I91" s="3" t="s">
        <v>77</v>
      </c>
      <c r="J91" s="3" t="s">
        <v>78</v>
      </c>
      <c r="K91" s="3">
        <v>81.552000000000007</v>
      </c>
    </row>
    <row r="92" spans="1:11" x14ac:dyDescent="0.35">
      <c r="A92"/>
      <c r="E92" s="2">
        <v>42729</v>
      </c>
      <c r="F92" s="3" t="s">
        <v>177</v>
      </c>
      <c r="G92" s="3" t="s">
        <v>44</v>
      </c>
      <c r="H92" s="3" t="s">
        <v>11</v>
      </c>
      <c r="I92" s="3" t="s">
        <v>38</v>
      </c>
      <c r="J92" s="3" t="s">
        <v>178</v>
      </c>
      <c r="K92" s="3">
        <v>10.98</v>
      </c>
    </row>
    <row r="93" spans="1:11" x14ac:dyDescent="0.35">
      <c r="A93"/>
      <c r="E93" s="2">
        <v>42730</v>
      </c>
      <c r="F93" s="3" t="s">
        <v>179</v>
      </c>
      <c r="G93" s="3" t="s">
        <v>10</v>
      </c>
      <c r="H93" s="3" t="s">
        <v>49</v>
      </c>
      <c r="I93" s="3" t="s">
        <v>60</v>
      </c>
      <c r="J93" s="3" t="s">
        <v>180</v>
      </c>
      <c r="K93" s="3">
        <v>1737.18</v>
      </c>
    </row>
    <row r="94" spans="1:11" x14ac:dyDescent="0.35">
      <c r="A94"/>
      <c r="E94" s="2">
        <v>42731</v>
      </c>
      <c r="F94" s="3" t="s">
        <v>181</v>
      </c>
      <c r="G94" s="3" t="s">
        <v>15</v>
      </c>
      <c r="H94" s="3" t="s">
        <v>49</v>
      </c>
      <c r="I94" s="3" t="s">
        <v>50</v>
      </c>
      <c r="J94" s="3" t="s">
        <v>182</v>
      </c>
      <c r="K94" s="3">
        <v>48.36</v>
      </c>
    </row>
    <row r="95" spans="1:11" x14ac:dyDescent="0.35">
      <c r="A95"/>
      <c r="E95" s="2">
        <v>42732</v>
      </c>
      <c r="F95" s="3" t="s">
        <v>183</v>
      </c>
      <c r="G95" s="3" t="s">
        <v>15</v>
      </c>
      <c r="H95" s="3" t="s">
        <v>49</v>
      </c>
      <c r="I95" s="3" t="s">
        <v>54</v>
      </c>
      <c r="J95" s="3" t="s">
        <v>63</v>
      </c>
      <c r="K95" s="3">
        <v>122.94</v>
      </c>
    </row>
    <row r="96" spans="1:11" x14ac:dyDescent="0.35">
      <c r="A96"/>
      <c r="E96" s="2">
        <v>42738</v>
      </c>
      <c r="F96" s="3" t="s">
        <v>184</v>
      </c>
      <c r="G96" s="3" t="s">
        <v>44</v>
      </c>
      <c r="H96" s="3" t="s">
        <v>11</v>
      </c>
      <c r="I96" s="3" t="s">
        <v>38</v>
      </c>
      <c r="J96" s="3" t="s">
        <v>39</v>
      </c>
      <c r="K96" s="3">
        <v>87.36</v>
      </c>
    </row>
    <row r="97" spans="1:11" x14ac:dyDescent="0.35">
      <c r="A97"/>
      <c r="E97" s="2">
        <v>42742</v>
      </c>
      <c r="F97" s="3" t="s">
        <v>185</v>
      </c>
      <c r="G97" s="3" t="s">
        <v>15</v>
      </c>
      <c r="H97" s="3" t="s">
        <v>28</v>
      </c>
      <c r="I97" s="3" t="s">
        <v>29</v>
      </c>
      <c r="J97" s="3" t="s">
        <v>186</v>
      </c>
      <c r="K97" s="3">
        <v>163.44</v>
      </c>
    </row>
    <row r="98" spans="1:11" x14ac:dyDescent="0.35">
      <c r="A98"/>
      <c r="E98" s="2">
        <v>42779</v>
      </c>
      <c r="F98" s="3" t="s">
        <v>111</v>
      </c>
      <c r="G98" s="3" t="s">
        <v>15</v>
      </c>
      <c r="H98" s="3" t="s">
        <v>11</v>
      </c>
      <c r="I98" s="3" t="s">
        <v>38</v>
      </c>
      <c r="J98" s="3" t="s">
        <v>45</v>
      </c>
      <c r="K98" s="3">
        <v>541.44000000000005</v>
      </c>
    </row>
    <row r="99" spans="1:11" x14ac:dyDescent="0.35">
      <c r="A99"/>
      <c r="E99" s="2">
        <v>42787</v>
      </c>
      <c r="F99" s="3" t="s">
        <v>187</v>
      </c>
      <c r="G99" s="3" t="s">
        <v>44</v>
      </c>
      <c r="H99" s="3" t="s">
        <v>49</v>
      </c>
      <c r="I99" s="3" t="s">
        <v>54</v>
      </c>
      <c r="J99" s="3" t="s">
        <v>63</v>
      </c>
      <c r="K99" s="3">
        <v>26.88</v>
      </c>
    </row>
    <row r="100" spans="1:11" x14ac:dyDescent="0.35">
      <c r="A100"/>
      <c r="E100" s="2">
        <v>42794</v>
      </c>
      <c r="F100" s="3" t="s">
        <v>121</v>
      </c>
      <c r="G100" s="3" t="s">
        <v>15</v>
      </c>
      <c r="H100" s="3" t="s">
        <v>49</v>
      </c>
      <c r="I100" s="3" t="s">
        <v>77</v>
      </c>
      <c r="J100" s="3" t="s">
        <v>78</v>
      </c>
      <c r="K100" s="3">
        <v>3.552</v>
      </c>
    </row>
    <row r="101" spans="1:11" x14ac:dyDescent="0.35">
      <c r="A101"/>
      <c r="E101" s="2">
        <v>42798</v>
      </c>
      <c r="F101" s="3" t="s">
        <v>171</v>
      </c>
      <c r="G101" s="3" t="s">
        <v>15</v>
      </c>
      <c r="H101" s="3" t="s">
        <v>16</v>
      </c>
      <c r="I101" s="3" t="s">
        <v>172</v>
      </c>
      <c r="J101" s="3" t="s">
        <v>188</v>
      </c>
      <c r="K101" s="3">
        <v>60.69</v>
      </c>
    </row>
    <row r="102" spans="1:11" x14ac:dyDescent="0.35">
      <c r="A102"/>
      <c r="E102" s="2">
        <v>42798</v>
      </c>
      <c r="F102" s="3" t="s">
        <v>150</v>
      </c>
      <c r="G102" s="3" t="s">
        <v>15</v>
      </c>
      <c r="H102" s="3" t="s">
        <v>16</v>
      </c>
      <c r="I102" s="3" t="s">
        <v>65</v>
      </c>
      <c r="J102" s="3" t="s">
        <v>66</v>
      </c>
      <c r="K102" s="3">
        <v>180.98</v>
      </c>
    </row>
    <row r="103" spans="1:11" x14ac:dyDescent="0.35">
      <c r="A103"/>
      <c r="E103" s="2">
        <v>42814</v>
      </c>
      <c r="F103" s="3" t="s">
        <v>189</v>
      </c>
      <c r="G103" s="3" t="s">
        <v>15</v>
      </c>
      <c r="H103" s="3" t="s">
        <v>28</v>
      </c>
      <c r="I103" s="3" t="s">
        <v>90</v>
      </c>
      <c r="J103" s="3" t="s">
        <v>190</v>
      </c>
      <c r="K103" s="3">
        <v>962.08</v>
      </c>
    </row>
    <row r="104" spans="1:11" x14ac:dyDescent="0.35">
      <c r="A104"/>
      <c r="E104" s="2">
        <v>42817</v>
      </c>
      <c r="F104" s="3" t="s">
        <v>191</v>
      </c>
      <c r="G104" s="3" t="s">
        <v>10</v>
      </c>
      <c r="H104" s="3" t="s">
        <v>28</v>
      </c>
      <c r="I104" s="3" t="s">
        <v>107</v>
      </c>
      <c r="J104" s="3" t="s">
        <v>192</v>
      </c>
      <c r="K104" s="3">
        <v>6.992</v>
      </c>
    </row>
    <row r="105" spans="1:11" x14ac:dyDescent="0.35">
      <c r="A105"/>
      <c r="E105" s="2">
        <v>42822</v>
      </c>
      <c r="F105" s="3" t="s">
        <v>193</v>
      </c>
      <c r="G105" s="3" t="s">
        <v>15</v>
      </c>
      <c r="H105" s="3" t="s">
        <v>11</v>
      </c>
      <c r="I105" s="3" t="s">
        <v>20</v>
      </c>
      <c r="J105" s="3" t="s">
        <v>21</v>
      </c>
      <c r="K105" s="3">
        <v>73.28</v>
      </c>
    </row>
    <row r="106" spans="1:11" x14ac:dyDescent="0.35">
      <c r="A106"/>
      <c r="E106" s="2">
        <v>42826</v>
      </c>
      <c r="F106" s="3" t="s">
        <v>194</v>
      </c>
      <c r="G106" s="3" t="s">
        <v>15</v>
      </c>
      <c r="H106" s="3" t="s">
        <v>16</v>
      </c>
      <c r="I106" s="3" t="s">
        <v>23</v>
      </c>
      <c r="J106" s="3" t="s">
        <v>24</v>
      </c>
      <c r="K106" s="3">
        <v>32.192</v>
      </c>
    </row>
    <row r="107" spans="1:11" x14ac:dyDescent="0.35">
      <c r="A107"/>
      <c r="E107" s="2">
        <v>42828</v>
      </c>
      <c r="F107" s="3" t="s">
        <v>195</v>
      </c>
      <c r="G107" s="3" t="s">
        <v>15</v>
      </c>
      <c r="H107" s="3" t="s">
        <v>16</v>
      </c>
      <c r="I107" s="3" t="s">
        <v>17</v>
      </c>
      <c r="J107" s="3" t="s">
        <v>196</v>
      </c>
      <c r="K107" s="3">
        <v>644.07600000000002</v>
      </c>
    </row>
    <row r="108" spans="1:11" x14ac:dyDescent="0.35">
      <c r="A108"/>
      <c r="E108" s="2">
        <v>42829</v>
      </c>
      <c r="F108" s="3" t="s">
        <v>197</v>
      </c>
      <c r="G108" s="3" t="s">
        <v>44</v>
      </c>
      <c r="H108" s="3" t="s">
        <v>49</v>
      </c>
      <c r="I108" s="3" t="s">
        <v>77</v>
      </c>
      <c r="J108" s="3" t="s">
        <v>78</v>
      </c>
      <c r="K108" s="3">
        <v>98.111999999999995</v>
      </c>
    </row>
    <row r="109" spans="1:11" x14ac:dyDescent="0.35">
      <c r="A109"/>
      <c r="E109" s="2">
        <v>42831</v>
      </c>
      <c r="F109" s="3" t="s">
        <v>198</v>
      </c>
      <c r="G109" s="3" t="s">
        <v>15</v>
      </c>
      <c r="H109" s="3" t="s">
        <v>16</v>
      </c>
      <c r="I109" s="3" t="s">
        <v>23</v>
      </c>
      <c r="J109" s="3" t="s">
        <v>88</v>
      </c>
      <c r="K109" s="3">
        <v>463.24799999999999</v>
      </c>
    </row>
    <row r="110" spans="1:11" x14ac:dyDescent="0.35">
      <c r="A110"/>
      <c r="E110" s="2">
        <v>42833</v>
      </c>
      <c r="F110" s="3" t="s">
        <v>199</v>
      </c>
      <c r="G110" s="3" t="s">
        <v>15</v>
      </c>
      <c r="H110" s="3" t="s">
        <v>49</v>
      </c>
      <c r="I110" s="3" t="s">
        <v>100</v>
      </c>
      <c r="J110" s="3" t="s">
        <v>200</v>
      </c>
      <c r="K110" s="3">
        <v>370.14</v>
      </c>
    </row>
    <row r="111" spans="1:11" x14ac:dyDescent="0.35">
      <c r="A111"/>
      <c r="E111" s="2">
        <v>42835</v>
      </c>
      <c r="F111" s="3" t="s">
        <v>201</v>
      </c>
      <c r="G111" s="3" t="s">
        <v>15</v>
      </c>
      <c r="H111" s="3" t="s">
        <v>49</v>
      </c>
      <c r="I111" s="3" t="s">
        <v>54</v>
      </c>
      <c r="J111" s="3" t="s">
        <v>63</v>
      </c>
      <c r="K111" s="3">
        <v>406.6</v>
      </c>
    </row>
    <row r="112" spans="1:11" x14ac:dyDescent="0.35">
      <c r="A112"/>
      <c r="E112" s="2">
        <v>42837</v>
      </c>
      <c r="F112" s="3" t="s">
        <v>202</v>
      </c>
      <c r="G112" s="3" t="s">
        <v>10</v>
      </c>
      <c r="H112" s="3" t="s">
        <v>11</v>
      </c>
      <c r="I112" s="3" t="s">
        <v>38</v>
      </c>
      <c r="J112" s="3" t="s">
        <v>45</v>
      </c>
      <c r="K112" s="3">
        <v>75.84</v>
      </c>
    </row>
    <row r="113" spans="1:11" x14ac:dyDescent="0.35">
      <c r="A113"/>
      <c r="E113" s="2">
        <v>42838</v>
      </c>
      <c r="F113" s="3" t="s">
        <v>203</v>
      </c>
      <c r="G113" s="3" t="s">
        <v>15</v>
      </c>
      <c r="H113" s="3" t="s">
        <v>11</v>
      </c>
      <c r="I113" s="3" t="s">
        <v>12</v>
      </c>
      <c r="J113" s="3" t="s">
        <v>13</v>
      </c>
      <c r="K113" s="3">
        <v>35.207999999999998</v>
      </c>
    </row>
    <row r="114" spans="1:11" x14ac:dyDescent="0.35">
      <c r="A114"/>
      <c r="E114" s="2">
        <v>42840</v>
      </c>
      <c r="F114" s="3" t="s">
        <v>204</v>
      </c>
      <c r="G114" s="3" t="s">
        <v>10</v>
      </c>
      <c r="H114" s="3" t="s">
        <v>49</v>
      </c>
      <c r="I114" s="3" t="s">
        <v>50</v>
      </c>
      <c r="J114" s="3" t="s">
        <v>205</v>
      </c>
      <c r="K114" s="3">
        <v>45.216000000000001</v>
      </c>
    </row>
    <row r="115" spans="1:11" x14ac:dyDescent="0.35">
      <c r="A115"/>
      <c r="E115" s="2">
        <v>42841</v>
      </c>
      <c r="F115" s="3" t="s">
        <v>206</v>
      </c>
      <c r="G115" s="3" t="s">
        <v>15</v>
      </c>
      <c r="H115" s="3" t="s">
        <v>11</v>
      </c>
      <c r="I115" s="3" t="s">
        <v>38</v>
      </c>
      <c r="J115" s="3" t="s">
        <v>39</v>
      </c>
      <c r="K115" s="3">
        <v>1447.65</v>
      </c>
    </row>
    <row r="116" spans="1:11" x14ac:dyDescent="0.35">
      <c r="A116"/>
      <c r="E116" s="2">
        <v>42843</v>
      </c>
      <c r="F116" s="3" t="s">
        <v>207</v>
      </c>
      <c r="G116" s="3" t="s">
        <v>15</v>
      </c>
      <c r="H116" s="3" t="s">
        <v>16</v>
      </c>
      <c r="I116" s="3" t="s">
        <v>23</v>
      </c>
      <c r="J116" s="3" t="s">
        <v>208</v>
      </c>
      <c r="K116" s="3">
        <v>19.568000000000001</v>
      </c>
    </row>
    <row r="117" spans="1:11" x14ac:dyDescent="0.35">
      <c r="A117"/>
      <c r="E117" s="2">
        <v>42849</v>
      </c>
      <c r="F117" s="3" t="s">
        <v>209</v>
      </c>
      <c r="G117" s="3" t="s">
        <v>15</v>
      </c>
      <c r="H117" s="3" t="s">
        <v>49</v>
      </c>
      <c r="I117" s="3" t="s">
        <v>54</v>
      </c>
      <c r="J117" s="3" t="s">
        <v>63</v>
      </c>
      <c r="K117" s="3">
        <v>206.43</v>
      </c>
    </row>
    <row r="118" spans="1:11" x14ac:dyDescent="0.35">
      <c r="A118"/>
      <c r="E118" s="2">
        <v>42849</v>
      </c>
      <c r="F118" s="3" t="s">
        <v>210</v>
      </c>
      <c r="G118" s="3" t="s">
        <v>15</v>
      </c>
      <c r="H118" s="3" t="s">
        <v>16</v>
      </c>
      <c r="I118" s="3" t="s">
        <v>151</v>
      </c>
      <c r="J118" s="3" t="s">
        <v>211</v>
      </c>
      <c r="K118" s="3">
        <v>272.39999999999998</v>
      </c>
    </row>
    <row r="119" spans="1:11" x14ac:dyDescent="0.35">
      <c r="A119"/>
      <c r="E119" s="2">
        <v>42851</v>
      </c>
      <c r="F119" s="3" t="s">
        <v>212</v>
      </c>
      <c r="G119" s="3" t="s">
        <v>44</v>
      </c>
      <c r="H119" s="3" t="s">
        <v>11</v>
      </c>
      <c r="I119" s="3" t="s">
        <v>81</v>
      </c>
      <c r="J119" s="3" t="s">
        <v>82</v>
      </c>
      <c r="K119" s="3">
        <v>43.56</v>
      </c>
    </row>
    <row r="120" spans="1:11" x14ac:dyDescent="0.35">
      <c r="A120"/>
      <c r="E120" s="2">
        <v>42852</v>
      </c>
      <c r="F120" s="3" t="s">
        <v>213</v>
      </c>
      <c r="G120" s="3" t="s">
        <v>15</v>
      </c>
      <c r="H120" s="3" t="s">
        <v>16</v>
      </c>
      <c r="I120" s="3" t="s">
        <v>23</v>
      </c>
      <c r="J120" s="3" t="s">
        <v>26</v>
      </c>
      <c r="K120" s="3">
        <v>8.6519999999999992</v>
      </c>
    </row>
    <row r="121" spans="1:11" x14ac:dyDescent="0.35">
      <c r="A121"/>
      <c r="E121" s="2">
        <v>42852</v>
      </c>
      <c r="F121" s="3" t="s">
        <v>214</v>
      </c>
      <c r="G121" s="3" t="s">
        <v>44</v>
      </c>
      <c r="H121" s="3" t="s">
        <v>16</v>
      </c>
      <c r="I121" s="3" t="s">
        <v>17</v>
      </c>
      <c r="J121" s="3" t="s">
        <v>215</v>
      </c>
      <c r="K121" s="3">
        <v>186.732</v>
      </c>
    </row>
    <row r="122" spans="1:11" x14ac:dyDescent="0.35">
      <c r="A122"/>
      <c r="E122" s="2">
        <v>42857</v>
      </c>
      <c r="F122" s="3" t="s">
        <v>216</v>
      </c>
      <c r="G122" s="3" t="s">
        <v>15</v>
      </c>
      <c r="H122" s="3" t="s">
        <v>49</v>
      </c>
      <c r="I122" s="3" t="s">
        <v>77</v>
      </c>
      <c r="J122" s="3" t="s">
        <v>78</v>
      </c>
      <c r="K122" s="3">
        <v>23.696000000000002</v>
      </c>
    </row>
    <row r="123" spans="1:11" x14ac:dyDescent="0.35">
      <c r="A123"/>
      <c r="E123" s="2">
        <v>42857</v>
      </c>
      <c r="F123" s="3" t="s">
        <v>216</v>
      </c>
      <c r="G123" s="3" t="s">
        <v>15</v>
      </c>
      <c r="H123" s="3" t="s">
        <v>49</v>
      </c>
      <c r="I123" s="3" t="s">
        <v>77</v>
      </c>
      <c r="J123" s="3" t="s">
        <v>78</v>
      </c>
      <c r="K123" s="3">
        <v>18.2</v>
      </c>
    </row>
    <row r="124" spans="1:11" x14ac:dyDescent="0.35">
      <c r="A124"/>
      <c r="E124" s="2">
        <v>42864</v>
      </c>
      <c r="F124" s="3" t="s">
        <v>113</v>
      </c>
      <c r="G124" s="3" t="s">
        <v>44</v>
      </c>
      <c r="H124" s="3" t="s">
        <v>16</v>
      </c>
      <c r="I124" s="3" t="s">
        <v>65</v>
      </c>
      <c r="J124" s="3" t="s">
        <v>82</v>
      </c>
      <c r="K124" s="3">
        <v>70.97</v>
      </c>
    </row>
    <row r="125" spans="1:11" x14ac:dyDescent="0.35">
      <c r="A125"/>
      <c r="E125" s="2">
        <v>42875</v>
      </c>
      <c r="F125" s="3" t="s">
        <v>217</v>
      </c>
      <c r="G125" s="3" t="s">
        <v>15</v>
      </c>
      <c r="H125" s="3" t="s">
        <v>16</v>
      </c>
      <c r="I125" s="3" t="s">
        <v>65</v>
      </c>
      <c r="J125" s="3" t="s">
        <v>218</v>
      </c>
      <c r="K125" s="3">
        <v>20.768000000000001</v>
      </c>
    </row>
    <row r="126" spans="1:11" x14ac:dyDescent="0.35">
      <c r="A126"/>
      <c r="E126" s="2">
        <v>42877</v>
      </c>
      <c r="F126" s="3" t="s">
        <v>219</v>
      </c>
      <c r="G126" s="3" t="s">
        <v>15</v>
      </c>
      <c r="H126" s="3" t="s">
        <v>11</v>
      </c>
      <c r="I126" s="3" t="s">
        <v>220</v>
      </c>
      <c r="J126" s="3" t="s">
        <v>221</v>
      </c>
      <c r="K126" s="3">
        <v>121.792</v>
      </c>
    </row>
    <row r="127" spans="1:11" x14ac:dyDescent="0.35">
      <c r="A127"/>
      <c r="E127" s="2">
        <v>42877</v>
      </c>
      <c r="F127" s="3" t="s">
        <v>222</v>
      </c>
      <c r="G127" s="3" t="s">
        <v>44</v>
      </c>
      <c r="H127" s="3" t="s">
        <v>16</v>
      </c>
      <c r="I127" s="3" t="s">
        <v>17</v>
      </c>
      <c r="J127" s="3" t="s">
        <v>70</v>
      </c>
      <c r="K127" s="3">
        <v>850.5</v>
      </c>
    </row>
    <row r="128" spans="1:11" x14ac:dyDescent="0.35">
      <c r="A128"/>
      <c r="E128" s="2">
        <v>42879</v>
      </c>
      <c r="F128" s="3" t="s">
        <v>223</v>
      </c>
      <c r="G128" s="3" t="s">
        <v>15</v>
      </c>
      <c r="H128" s="3" t="s">
        <v>11</v>
      </c>
      <c r="I128" s="3" t="s">
        <v>81</v>
      </c>
      <c r="J128" s="3" t="s">
        <v>224</v>
      </c>
      <c r="K128" s="3">
        <v>845.72799999999995</v>
      </c>
    </row>
    <row r="129" spans="1:11" x14ac:dyDescent="0.35">
      <c r="A129"/>
      <c r="E129" s="2">
        <v>42884</v>
      </c>
      <c r="F129" s="3" t="s">
        <v>225</v>
      </c>
      <c r="G129" s="3" t="s">
        <v>15</v>
      </c>
      <c r="H129" s="3" t="s">
        <v>49</v>
      </c>
      <c r="I129" s="3" t="s">
        <v>54</v>
      </c>
      <c r="J129" s="3" t="s">
        <v>63</v>
      </c>
      <c r="K129" s="3">
        <v>160.32</v>
      </c>
    </row>
    <row r="130" spans="1:11" x14ac:dyDescent="0.35">
      <c r="A130"/>
      <c r="E130" s="2">
        <v>42893</v>
      </c>
      <c r="F130" s="3" t="s">
        <v>176</v>
      </c>
      <c r="G130" s="3" t="s">
        <v>15</v>
      </c>
      <c r="H130" s="3" t="s">
        <v>16</v>
      </c>
      <c r="I130" s="3" t="s">
        <v>65</v>
      </c>
      <c r="J130" s="3" t="s">
        <v>66</v>
      </c>
      <c r="K130" s="3">
        <v>143.12799999999999</v>
      </c>
    </row>
    <row r="131" spans="1:11" x14ac:dyDescent="0.35">
      <c r="A131"/>
      <c r="E131" s="2">
        <v>42917</v>
      </c>
      <c r="F131" s="3" t="s">
        <v>226</v>
      </c>
      <c r="G131" s="3" t="s">
        <v>15</v>
      </c>
      <c r="H131" s="3" t="s">
        <v>16</v>
      </c>
      <c r="I131" s="3" t="s">
        <v>23</v>
      </c>
      <c r="J131" s="3" t="s">
        <v>26</v>
      </c>
      <c r="K131" s="3">
        <v>32.783999999999999</v>
      </c>
    </row>
    <row r="132" spans="1:11" x14ac:dyDescent="0.35">
      <c r="A132"/>
      <c r="E132" s="2">
        <v>42924</v>
      </c>
      <c r="F132" s="3" t="s">
        <v>227</v>
      </c>
      <c r="G132" s="3" t="s">
        <v>10</v>
      </c>
      <c r="H132" s="3" t="s">
        <v>16</v>
      </c>
      <c r="I132" s="3" t="s">
        <v>23</v>
      </c>
      <c r="J132" s="3" t="s">
        <v>24</v>
      </c>
      <c r="K132" s="3">
        <v>48.631999999999998</v>
      </c>
    </row>
    <row r="133" spans="1:11" x14ac:dyDescent="0.35">
      <c r="A133"/>
      <c r="E133" s="2">
        <v>42938</v>
      </c>
      <c r="F133" s="3" t="s">
        <v>228</v>
      </c>
      <c r="G133" s="3" t="s">
        <v>44</v>
      </c>
      <c r="H133" s="3" t="s">
        <v>49</v>
      </c>
      <c r="I133" s="3" t="s">
        <v>54</v>
      </c>
      <c r="J133" s="3" t="s">
        <v>63</v>
      </c>
      <c r="K133" s="3">
        <v>68.94</v>
      </c>
    </row>
    <row r="134" spans="1:11" x14ac:dyDescent="0.35">
      <c r="A134"/>
      <c r="E134" s="2">
        <v>42953</v>
      </c>
      <c r="F134" s="3" t="s">
        <v>229</v>
      </c>
      <c r="G134" s="3" t="s">
        <v>10</v>
      </c>
      <c r="H134" s="3" t="s">
        <v>49</v>
      </c>
      <c r="I134" s="3" t="s">
        <v>230</v>
      </c>
      <c r="J134" s="3" t="s">
        <v>231</v>
      </c>
      <c r="K134" s="3">
        <v>77.58</v>
      </c>
    </row>
    <row r="135" spans="1:11" x14ac:dyDescent="0.35">
      <c r="A135"/>
      <c r="E135" s="2">
        <v>42954</v>
      </c>
      <c r="F135" s="3" t="s">
        <v>232</v>
      </c>
      <c r="G135" s="3" t="s">
        <v>15</v>
      </c>
      <c r="H135" s="3" t="s">
        <v>49</v>
      </c>
      <c r="I135" s="3" t="s">
        <v>60</v>
      </c>
      <c r="J135" s="3" t="s">
        <v>61</v>
      </c>
      <c r="K135" s="3">
        <v>113.92</v>
      </c>
    </row>
    <row r="136" spans="1:11" x14ac:dyDescent="0.35">
      <c r="A136"/>
      <c r="E136" s="2">
        <v>42956</v>
      </c>
      <c r="F136" s="3" t="s">
        <v>169</v>
      </c>
      <c r="G136" s="3" t="s">
        <v>15</v>
      </c>
      <c r="H136" s="3" t="s">
        <v>11</v>
      </c>
      <c r="I136" s="3" t="s">
        <v>12</v>
      </c>
      <c r="J136" s="3" t="s">
        <v>233</v>
      </c>
      <c r="K136" s="3">
        <v>133.47200000000001</v>
      </c>
    </row>
    <row r="137" spans="1:11" x14ac:dyDescent="0.35">
      <c r="A137"/>
      <c r="E137" s="2">
        <v>42969</v>
      </c>
      <c r="F137" s="3" t="s">
        <v>234</v>
      </c>
      <c r="G137" s="3" t="s">
        <v>15</v>
      </c>
      <c r="H137" s="3" t="s">
        <v>16</v>
      </c>
      <c r="I137" s="3" t="s">
        <v>65</v>
      </c>
      <c r="J137" s="3" t="s">
        <v>235</v>
      </c>
      <c r="K137" s="3">
        <v>5.7679999999999998</v>
      </c>
    </row>
    <row r="138" spans="1:11" x14ac:dyDescent="0.35">
      <c r="A138"/>
      <c r="E138" s="2">
        <v>42969</v>
      </c>
      <c r="F138" s="3" t="s">
        <v>236</v>
      </c>
      <c r="G138" s="3" t="s">
        <v>15</v>
      </c>
      <c r="H138" s="3" t="s">
        <v>28</v>
      </c>
      <c r="I138" s="3" t="s">
        <v>41</v>
      </c>
      <c r="J138" s="3" t="s">
        <v>237</v>
      </c>
      <c r="K138" s="3">
        <v>542.94000000000005</v>
      </c>
    </row>
    <row r="139" spans="1:11" x14ac:dyDescent="0.35">
      <c r="A139"/>
      <c r="E139" s="2">
        <v>42969</v>
      </c>
      <c r="F139" s="3" t="s">
        <v>236</v>
      </c>
      <c r="G139" s="3" t="s">
        <v>15</v>
      </c>
      <c r="H139" s="3" t="s">
        <v>28</v>
      </c>
      <c r="I139" s="3" t="s">
        <v>41</v>
      </c>
      <c r="J139" s="3" t="s">
        <v>237</v>
      </c>
      <c r="K139" s="3">
        <v>25.86</v>
      </c>
    </row>
    <row r="140" spans="1:11" x14ac:dyDescent="0.35">
      <c r="A140"/>
      <c r="E140" s="2">
        <v>42971</v>
      </c>
      <c r="F140" s="3" t="s">
        <v>238</v>
      </c>
      <c r="G140" s="3" t="s">
        <v>44</v>
      </c>
      <c r="H140" s="3" t="s">
        <v>11</v>
      </c>
      <c r="I140" s="3" t="s">
        <v>38</v>
      </c>
      <c r="J140" s="3" t="s">
        <v>45</v>
      </c>
      <c r="K140" s="3">
        <v>105.96</v>
      </c>
    </row>
    <row r="141" spans="1:11" x14ac:dyDescent="0.35">
      <c r="A141"/>
      <c r="E141" s="2">
        <v>42980</v>
      </c>
      <c r="F141" s="3" t="s">
        <v>122</v>
      </c>
      <c r="G141" s="3" t="s">
        <v>10</v>
      </c>
      <c r="H141" s="3" t="s">
        <v>49</v>
      </c>
      <c r="I141" s="3" t="s">
        <v>100</v>
      </c>
      <c r="J141" s="3" t="s">
        <v>239</v>
      </c>
      <c r="K141" s="3">
        <v>137.62</v>
      </c>
    </row>
    <row r="142" spans="1:11" x14ac:dyDescent="0.35">
      <c r="A142"/>
      <c r="E142" s="2">
        <v>42983</v>
      </c>
      <c r="F142" s="3" t="s">
        <v>240</v>
      </c>
      <c r="G142" s="3" t="s">
        <v>10</v>
      </c>
      <c r="H142" s="3" t="s">
        <v>49</v>
      </c>
      <c r="I142" s="3" t="s">
        <v>54</v>
      </c>
      <c r="J142" s="3" t="s">
        <v>63</v>
      </c>
      <c r="K142" s="3">
        <v>8.39</v>
      </c>
    </row>
    <row r="143" spans="1:11" x14ac:dyDescent="0.35">
      <c r="A143"/>
      <c r="E143" s="2">
        <v>42987</v>
      </c>
      <c r="F143" s="3" t="s">
        <v>241</v>
      </c>
      <c r="G143" s="3" t="s">
        <v>10</v>
      </c>
      <c r="H143" s="3" t="s">
        <v>49</v>
      </c>
      <c r="I143" s="3" t="s">
        <v>60</v>
      </c>
      <c r="J143" s="3" t="s">
        <v>242</v>
      </c>
      <c r="K143" s="3">
        <v>61.96</v>
      </c>
    </row>
    <row r="144" spans="1:11" x14ac:dyDescent="0.35">
      <c r="A144"/>
      <c r="E144" s="2">
        <v>42988</v>
      </c>
      <c r="F144" s="3" t="s">
        <v>243</v>
      </c>
      <c r="G144" s="3" t="s">
        <v>44</v>
      </c>
      <c r="H144" s="3" t="s">
        <v>49</v>
      </c>
      <c r="I144" s="3" t="s">
        <v>117</v>
      </c>
      <c r="J144" s="3" t="s">
        <v>244</v>
      </c>
      <c r="K144" s="3">
        <v>111.04</v>
      </c>
    </row>
    <row r="145" spans="1:11" x14ac:dyDescent="0.35">
      <c r="A145"/>
      <c r="E145" s="2">
        <v>42999</v>
      </c>
      <c r="F145" s="3" t="s">
        <v>245</v>
      </c>
      <c r="G145" s="3" t="s">
        <v>10</v>
      </c>
      <c r="H145" s="3" t="s">
        <v>11</v>
      </c>
      <c r="I145" s="3" t="s">
        <v>38</v>
      </c>
      <c r="J145" s="3" t="s">
        <v>45</v>
      </c>
      <c r="K145" s="3">
        <v>61.44</v>
      </c>
    </row>
    <row r="146" spans="1:11" x14ac:dyDescent="0.35">
      <c r="A146"/>
      <c r="E146" s="2">
        <v>43001</v>
      </c>
      <c r="F146" s="3" t="s">
        <v>246</v>
      </c>
      <c r="G146" s="3" t="s">
        <v>10</v>
      </c>
      <c r="H146" s="3" t="s">
        <v>11</v>
      </c>
      <c r="I146" s="3" t="s">
        <v>38</v>
      </c>
      <c r="J146" s="3" t="s">
        <v>45</v>
      </c>
      <c r="K146" s="3">
        <v>1158.1199999999999</v>
      </c>
    </row>
    <row r="147" spans="1:11" x14ac:dyDescent="0.35">
      <c r="A147"/>
      <c r="E147" s="2">
        <v>43003</v>
      </c>
      <c r="F147" s="3" t="s">
        <v>247</v>
      </c>
      <c r="G147" s="3" t="s">
        <v>10</v>
      </c>
      <c r="H147" s="3" t="s">
        <v>11</v>
      </c>
      <c r="I147" s="3" t="s">
        <v>220</v>
      </c>
      <c r="J147" s="3" t="s">
        <v>248</v>
      </c>
      <c r="K147" s="3">
        <v>60.671999999999997</v>
      </c>
    </row>
    <row r="148" spans="1:11" x14ac:dyDescent="0.35">
      <c r="A148"/>
      <c r="E148" s="2">
        <v>43005</v>
      </c>
      <c r="F148" s="3" t="s">
        <v>249</v>
      </c>
      <c r="G148" s="3" t="s">
        <v>10</v>
      </c>
      <c r="H148" s="3" t="s">
        <v>11</v>
      </c>
      <c r="I148" s="3" t="s">
        <v>38</v>
      </c>
      <c r="J148" s="3" t="s">
        <v>39</v>
      </c>
      <c r="K148" s="3">
        <v>43.26</v>
      </c>
    </row>
    <row r="149" spans="1:11" x14ac:dyDescent="0.35">
      <c r="A149"/>
      <c r="E149" s="2">
        <v>43005</v>
      </c>
      <c r="F149" s="3" t="s">
        <v>249</v>
      </c>
      <c r="G149" s="3" t="s">
        <v>10</v>
      </c>
      <c r="H149" s="3" t="s">
        <v>11</v>
      </c>
      <c r="I149" s="3" t="s">
        <v>38</v>
      </c>
      <c r="J149" s="3" t="s">
        <v>39</v>
      </c>
      <c r="K149" s="3">
        <v>43.56</v>
      </c>
    </row>
    <row r="150" spans="1:11" x14ac:dyDescent="0.35">
      <c r="A150"/>
      <c r="E150" s="2">
        <v>43005</v>
      </c>
      <c r="F150" s="3" t="s">
        <v>250</v>
      </c>
      <c r="G150" s="3" t="s">
        <v>15</v>
      </c>
      <c r="H150" s="3" t="s">
        <v>49</v>
      </c>
      <c r="I150" s="3" t="s">
        <v>54</v>
      </c>
      <c r="J150" s="3" t="s">
        <v>63</v>
      </c>
      <c r="K150" s="3">
        <v>293.52</v>
      </c>
    </row>
    <row r="151" spans="1:11" x14ac:dyDescent="0.35">
      <c r="A151"/>
      <c r="E151" s="2">
        <v>43005</v>
      </c>
      <c r="F151" s="3" t="s">
        <v>251</v>
      </c>
      <c r="G151" s="3" t="s">
        <v>10</v>
      </c>
      <c r="H151" s="3" t="s">
        <v>11</v>
      </c>
      <c r="I151" s="3" t="s">
        <v>38</v>
      </c>
      <c r="J151" s="3" t="s">
        <v>45</v>
      </c>
      <c r="K151" s="3">
        <v>186.15</v>
      </c>
    </row>
    <row r="152" spans="1:11" x14ac:dyDescent="0.35">
      <c r="A152"/>
      <c r="E152" s="2">
        <v>43012</v>
      </c>
      <c r="F152" s="3" t="s">
        <v>252</v>
      </c>
      <c r="G152" s="3" t="s">
        <v>44</v>
      </c>
      <c r="H152" s="3" t="s">
        <v>28</v>
      </c>
      <c r="I152" s="3" t="s">
        <v>253</v>
      </c>
      <c r="J152" s="3" t="s">
        <v>13</v>
      </c>
      <c r="K152" s="3">
        <v>28.84</v>
      </c>
    </row>
    <row r="153" spans="1:11" x14ac:dyDescent="0.35">
      <c r="A153"/>
      <c r="E153" s="2">
        <v>43016</v>
      </c>
      <c r="F153" s="3" t="s">
        <v>128</v>
      </c>
      <c r="G153" s="3" t="s">
        <v>10</v>
      </c>
      <c r="H153" s="3" t="s">
        <v>16</v>
      </c>
      <c r="I153" s="3" t="s">
        <v>17</v>
      </c>
      <c r="J153" s="3" t="s">
        <v>254</v>
      </c>
      <c r="K153" s="3">
        <v>29.402999999999999</v>
      </c>
    </row>
    <row r="154" spans="1:11" x14ac:dyDescent="0.35">
      <c r="A154"/>
      <c r="E154" s="2">
        <v>43016</v>
      </c>
      <c r="F154" s="3" t="s">
        <v>255</v>
      </c>
      <c r="G154" s="3" t="s">
        <v>15</v>
      </c>
      <c r="H154" s="3" t="s">
        <v>16</v>
      </c>
      <c r="I154" s="3" t="s">
        <v>17</v>
      </c>
      <c r="J154" s="3" t="s">
        <v>70</v>
      </c>
      <c r="K154" s="3">
        <v>269.91000000000003</v>
      </c>
    </row>
    <row r="155" spans="1:11" x14ac:dyDescent="0.35">
      <c r="A155"/>
      <c r="E155" s="2">
        <v>43025</v>
      </c>
      <c r="F155" s="3" t="s">
        <v>256</v>
      </c>
      <c r="G155" s="3" t="s">
        <v>44</v>
      </c>
      <c r="H155" s="3" t="s">
        <v>16</v>
      </c>
      <c r="I155" s="3" t="s">
        <v>23</v>
      </c>
      <c r="J155" s="3" t="s">
        <v>257</v>
      </c>
      <c r="K155" s="3">
        <v>73.164000000000001</v>
      </c>
    </row>
    <row r="156" spans="1:11" x14ac:dyDescent="0.35">
      <c r="A156"/>
      <c r="E156" s="2">
        <v>43026</v>
      </c>
      <c r="F156" s="3" t="s">
        <v>258</v>
      </c>
      <c r="G156" s="3" t="s">
        <v>44</v>
      </c>
      <c r="H156" s="3" t="s">
        <v>11</v>
      </c>
      <c r="I156" s="3" t="s">
        <v>38</v>
      </c>
      <c r="J156" s="3" t="s">
        <v>45</v>
      </c>
      <c r="K156" s="3">
        <v>1640.7</v>
      </c>
    </row>
    <row r="157" spans="1:11" x14ac:dyDescent="0.35">
      <c r="A157"/>
      <c r="E157" s="2">
        <v>43033</v>
      </c>
      <c r="F157" s="3" t="s">
        <v>259</v>
      </c>
      <c r="G157" s="3" t="s">
        <v>10</v>
      </c>
      <c r="H157" s="3" t="s">
        <v>11</v>
      </c>
      <c r="I157" s="3" t="s">
        <v>12</v>
      </c>
      <c r="J157" s="3" t="s">
        <v>13</v>
      </c>
      <c r="K157" s="3">
        <v>203.88</v>
      </c>
    </row>
    <row r="158" spans="1:11" x14ac:dyDescent="0.35">
      <c r="A158"/>
      <c r="E158" s="2">
        <v>43037</v>
      </c>
      <c r="F158" s="3" t="s">
        <v>260</v>
      </c>
      <c r="G158" s="3" t="s">
        <v>15</v>
      </c>
      <c r="H158" s="3" t="s">
        <v>28</v>
      </c>
      <c r="I158" s="3" t="s">
        <v>253</v>
      </c>
      <c r="J158" s="3" t="s">
        <v>261</v>
      </c>
      <c r="K158" s="3">
        <v>182.91</v>
      </c>
    </row>
    <row r="159" spans="1:11" x14ac:dyDescent="0.35">
      <c r="A159"/>
      <c r="E159" s="2">
        <v>43040</v>
      </c>
      <c r="F159" s="3" t="s">
        <v>262</v>
      </c>
      <c r="G159" s="3" t="s">
        <v>15</v>
      </c>
      <c r="H159" s="3" t="s">
        <v>28</v>
      </c>
      <c r="I159" s="3" t="s">
        <v>253</v>
      </c>
      <c r="J159" s="3" t="s">
        <v>263</v>
      </c>
      <c r="K159" s="3">
        <v>197.72</v>
      </c>
    </row>
    <row r="160" spans="1:11" x14ac:dyDescent="0.35">
      <c r="A160"/>
      <c r="E160" s="2">
        <v>43043</v>
      </c>
      <c r="F160" s="3" t="s">
        <v>94</v>
      </c>
      <c r="G160" s="3" t="s">
        <v>15</v>
      </c>
      <c r="H160" s="3" t="s">
        <v>28</v>
      </c>
      <c r="I160" s="3" t="s">
        <v>107</v>
      </c>
      <c r="J160" s="3" t="s">
        <v>192</v>
      </c>
      <c r="K160" s="3">
        <v>387.13600000000002</v>
      </c>
    </row>
    <row r="161" spans="1:11" x14ac:dyDescent="0.35">
      <c r="A161"/>
      <c r="E161" s="2">
        <v>43046</v>
      </c>
      <c r="F161" s="3" t="s">
        <v>264</v>
      </c>
      <c r="G161" s="3" t="s">
        <v>15</v>
      </c>
      <c r="H161" s="3" t="s">
        <v>28</v>
      </c>
      <c r="I161" s="3" t="s">
        <v>253</v>
      </c>
      <c r="J161" s="3" t="s">
        <v>265</v>
      </c>
      <c r="K161" s="3">
        <v>44.43</v>
      </c>
    </row>
    <row r="162" spans="1:11" x14ac:dyDescent="0.35">
      <c r="A162"/>
      <c r="E162" s="2">
        <v>43048</v>
      </c>
      <c r="F162" s="3" t="s">
        <v>266</v>
      </c>
      <c r="G162" s="3" t="s">
        <v>44</v>
      </c>
      <c r="H162" s="3" t="s">
        <v>16</v>
      </c>
      <c r="I162" s="3" t="s">
        <v>32</v>
      </c>
      <c r="J162" s="3" t="s">
        <v>267</v>
      </c>
      <c r="K162" s="3">
        <v>715.64</v>
      </c>
    </row>
    <row r="163" spans="1:11" x14ac:dyDescent="0.35">
      <c r="A163"/>
      <c r="E163" s="2">
        <v>43049</v>
      </c>
      <c r="F163" s="3" t="s">
        <v>268</v>
      </c>
      <c r="G163" s="3" t="s">
        <v>10</v>
      </c>
      <c r="H163" s="3" t="s">
        <v>16</v>
      </c>
      <c r="I163" s="3" t="s">
        <v>17</v>
      </c>
      <c r="J163" s="3" t="s">
        <v>70</v>
      </c>
      <c r="K163" s="3">
        <v>123.858</v>
      </c>
    </row>
    <row r="164" spans="1:11" x14ac:dyDescent="0.35">
      <c r="A164"/>
      <c r="E164" s="2">
        <v>43052</v>
      </c>
      <c r="F164" s="3" t="s">
        <v>269</v>
      </c>
      <c r="G164" s="3" t="s">
        <v>10</v>
      </c>
      <c r="H164" s="3" t="s">
        <v>28</v>
      </c>
      <c r="I164" s="3" t="s">
        <v>253</v>
      </c>
      <c r="J164" s="3" t="s">
        <v>13</v>
      </c>
      <c r="K164" s="3">
        <v>826.11</v>
      </c>
    </row>
    <row r="165" spans="1:11" x14ac:dyDescent="0.35">
      <c r="A165"/>
      <c r="E165" s="2">
        <v>43054</v>
      </c>
      <c r="F165" s="3" t="s">
        <v>266</v>
      </c>
      <c r="G165" s="3" t="s">
        <v>44</v>
      </c>
      <c r="H165" s="3" t="s">
        <v>49</v>
      </c>
      <c r="I165" s="3" t="s">
        <v>54</v>
      </c>
      <c r="J165" s="3" t="s">
        <v>63</v>
      </c>
      <c r="K165" s="3">
        <v>523.25</v>
      </c>
    </row>
    <row r="166" spans="1:11" x14ac:dyDescent="0.35">
      <c r="A166"/>
      <c r="E166" s="2">
        <v>43057</v>
      </c>
      <c r="F166" s="3" t="s">
        <v>270</v>
      </c>
      <c r="G166" s="3" t="s">
        <v>10</v>
      </c>
      <c r="H166" s="3" t="s">
        <v>11</v>
      </c>
      <c r="I166" s="3" t="s">
        <v>271</v>
      </c>
      <c r="J166" s="3" t="s">
        <v>272</v>
      </c>
      <c r="K166" s="3">
        <v>31.08</v>
      </c>
    </row>
    <row r="167" spans="1:11" x14ac:dyDescent="0.35">
      <c r="A167"/>
      <c r="E167" s="2">
        <v>43059</v>
      </c>
      <c r="F167" s="3" t="s">
        <v>273</v>
      </c>
      <c r="G167" s="3" t="s">
        <v>15</v>
      </c>
      <c r="H167" s="3" t="s">
        <v>16</v>
      </c>
      <c r="I167" s="3" t="s">
        <v>172</v>
      </c>
      <c r="J167" s="3" t="s">
        <v>61</v>
      </c>
      <c r="K167" s="3">
        <v>19.75</v>
      </c>
    </row>
    <row r="168" spans="1:11" x14ac:dyDescent="0.35">
      <c r="A168"/>
      <c r="E168" s="2">
        <v>43059</v>
      </c>
      <c r="F168" s="3" t="s">
        <v>274</v>
      </c>
      <c r="G168" s="3" t="s">
        <v>10</v>
      </c>
      <c r="H168" s="3" t="s">
        <v>11</v>
      </c>
      <c r="I168" s="3" t="s">
        <v>220</v>
      </c>
      <c r="J168" s="3" t="s">
        <v>221</v>
      </c>
      <c r="K168" s="3">
        <v>325.63200000000001</v>
      </c>
    </row>
    <row r="169" spans="1:11" x14ac:dyDescent="0.35">
      <c r="A169"/>
      <c r="E169" s="2">
        <v>43059</v>
      </c>
      <c r="F169" s="3" t="s">
        <v>275</v>
      </c>
      <c r="G169" s="3" t="s">
        <v>10</v>
      </c>
      <c r="H169" s="3" t="s">
        <v>16</v>
      </c>
      <c r="I169" s="3" t="s">
        <v>23</v>
      </c>
      <c r="J169" s="3" t="s">
        <v>144</v>
      </c>
      <c r="K169" s="3">
        <v>24.588000000000001</v>
      </c>
    </row>
    <row r="170" spans="1:11" x14ac:dyDescent="0.35">
      <c r="A170"/>
      <c r="E170" s="2">
        <v>43060</v>
      </c>
      <c r="F170" s="3" t="s">
        <v>276</v>
      </c>
      <c r="G170" s="3" t="s">
        <v>44</v>
      </c>
      <c r="H170" s="3" t="s">
        <v>16</v>
      </c>
      <c r="I170" s="3" t="s">
        <v>23</v>
      </c>
      <c r="J170" s="3" t="s">
        <v>144</v>
      </c>
      <c r="K170" s="3">
        <v>68.81</v>
      </c>
    </row>
    <row r="171" spans="1:11" x14ac:dyDescent="0.35">
      <c r="A171"/>
      <c r="E171" s="2">
        <v>43061</v>
      </c>
      <c r="F171" s="3" t="s">
        <v>277</v>
      </c>
      <c r="G171" s="3" t="s">
        <v>15</v>
      </c>
      <c r="H171" s="3" t="s">
        <v>49</v>
      </c>
      <c r="I171" s="3" t="s">
        <v>117</v>
      </c>
      <c r="J171" s="3" t="s">
        <v>278</v>
      </c>
      <c r="K171" s="3">
        <v>2625.12</v>
      </c>
    </row>
    <row r="172" spans="1:11" x14ac:dyDescent="0.35">
      <c r="A172"/>
      <c r="E172" s="2">
        <v>43066</v>
      </c>
      <c r="F172" s="3" t="s">
        <v>279</v>
      </c>
      <c r="G172" s="3" t="s">
        <v>15</v>
      </c>
      <c r="H172" s="3" t="s">
        <v>11</v>
      </c>
      <c r="I172" s="3" t="s">
        <v>38</v>
      </c>
      <c r="J172" s="3" t="s">
        <v>39</v>
      </c>
      <c r="K172" s="3">
        <v>45.28</v>
      </c>
    </row>
    <row r="173" spans="1:11" x14ac:dyDescent="0.35">
      <c r="A173"/>
      <c r="E173" s="2">
        <v>43067</v>
      </c>
      <c r="F173" s="3" t="s">
        <v>280</v>
      </c>
      <c r="G173" s="3" t="s">
        <v>10</v>
      </c>
      <c r="H173" s="3" t="s">
        <v>16</v>
      </c>
      <c r="I173" s="3" t="s">
        <v>17</v>
      </c>
      <c r="J173" s="3" t="s">
        <v>281</v>
      </c>
      <c r="K173" s="3">
        <v>555.21</v>
      </c>
    </row>
    <row r="174" spans="1:11" x14ac:dyDescent="0.35">
      <c r="A174"/>
      <c r="E174" s="2">
        <v>43068</v>
      </c>
      <c r="F174" s="3" t="s">
        <v>102</v>
      </c>
      <c r="G174" s="3" t="s">
        <v>15</v>
      </c>
      <c r="H174" s="3" t="s">
        <v>28</v>
      </c>
      <c r="I174" s="3" t="s">
        <v>90</v>
      </c>
      <c r="J174" s="3" t="s">
        <v>282</v>
      </c>
      <c r="K174" s="3">
        <v>98.352000000000004</v>
      </c>
    </row>
    <row r="175" spans="1:11" x14ac:dyDescent="0.35">
      <c r="A175"/>
      <c r="E175" s="2">
        <v>43074</v>
      </c>
      <c r="F175" s="3" t="s">
        <v>283</v>
      </c>
      <c r="G175" s="3" t="s">
        <v>15</v>
      </c>
      <c r="H175" s="3" t="s">
        <v>11</v>
      </c>
      <c r="I175" s="3" t="s">
        <v>38</v>
      </c>
      <c r="J175" s="3" t="s">
        <v>39</v>
      </c>
      <c r="K175" s="3">
        <v>7.78</v>
      </c>
    </row>
    <row r="176" spans="1:11" x14ac:dyDescent="0.35">
      <c r="A176"/>
      <c r="E176" s="2">
        <v>43075</v>
      </c>
      <c r="F176" s="3" t="s">
        <v>284</v>
      </c>
      <c r="G176" s="3" t="s">
        <v>15</v>
      </c>
      <c r="H176" s="3" t="s">
        <v>28</v>
      </c>
      <c r="I176" s="3" t="s">
        <v>29</v>
      </c>
      <c r="J176" s="3" t="s">
        <v>186</v>
      </c>
      <c r="K176" s="3">
        <v>152.94</v>
      </c>
    </row>
    <row r="177" spans="1:11" x14ac:dyDescent="0.35">
      <c r="A177"/>
      <c r="E177" s="2">
        <v>43078</v>
      </c>
      <c r="F177" s="3" t="s">
        <v>189</v>
      </c>
      <c r="G177" s="3" t="s">
        <v>15</v>
      </c>
      <c r="H177" s="3" t="s">
        <v>16</v>
      </c>
      <c r="I177" s="3" t="s">
        <v>65</v>
      </c>
      <c r="J177" s="3" t="s">
        <v>66</v>
      </c>
      <c r="K177" s="3">
        <v>53.088000000000001</v>
      </c>
    </row>
    <row r="178" spans="1:11" x14ac:dyDescent="0.35">
      <c r="A178"/>
      <c r="E178" s="2">
        <v>43081</v>
      </c>
      <c r="F178" s="3" t="s">
        <v>285</v>
      </c>
      <c r="G178" s="3" t="s">
        <v>10</v>
      </c>
      <c r="H178" s="3" t="s">
        <v>11</v>
      </c>
      <c r="I178" s="3" t="s">
        <v>38</v>
      </c>
      <c r="J178" s="3" t="s">
        <v>286</v>
      </c>
      <c r="K178" s="3">
        <v>134.47999999999999</v>
      </c>
    </row>
    <row r="179" spans="1:11" x14ac:dyDescent="0.35">
      <c r="A179"/>
      <c r="E179" s="2">
        <v>43083</v>
      </c>
      <c r="F179" s="3" t="s">
        <v>287</v>
      </c>
      <c r="G179" s="3" t="s">
        <v>15</v>
      </c>
      <c r="H179" s="3" t="s">
        <v>11</v>
      </c>
      <c r="I179" s="3" t="s">
        <v>20</v>
      </c>
      <c r="J179" s="3" t="s">
        <v>21</v>
      </c>
      <c r="K179" s="3">
        <v>103.92</v>
      </c>
    </row>
    <row r="180" spans="1:11" x14ac:dyDescent="0.35">
      <c r="A180"/>
      <c r="E180" s="2">
        <v>43087</v>
      </c>
      <c r="F180" s="3" t="s">
        <v>288</v>
      </c>
      <c r="G180" s="3" t="s">
        <v>15</v>
      </c>
      <c r="H180" s="3" t="s">
        <v>49</v>
      </c>
      <c r="I180" s="3" t="s">
        <v>77</v>
      </c>
      <c r="J180" s="3" t="s">
        <v>78</v>
      </c>
      <c r="K180" s="3">
        <v>434.35199999999998</v>
      </c>
    </row>
    <row r="181" spans="1:11" x14ac:dyDescent="0.35">
      <c r="A181"/>
      <c r="E181" s="2">
        <v>43087</v>
      </c>
      <c r="F181" s="3" t="s">
        <v>288</v>
      </c>
      <c r="G181" s="3" t="s">
        <v>15</v>
      </c>
      <c r="H181" s="3" t="s">
        <v>49</v>
      </c>
      <c r="I181" s="3" t="s">
        <v>77</v>
      </c>
      <c r="J181" s="3" t="s">
        <v>78</v>
      </c>
      <c r="K181" s="3">
        <v>3.552</v>
      </c>
    </row>
    <row r="182" spans="1:11" x14ac:dyDescent="0.35">
      <c r="A182"/>
      <c r="E182" s="2">
        <v>43087</v>
      </c>
      <c r="F182" s="3" t="s">
        <v>288</v>
      </c>
      <c r="G182" s="3" t="s">
        <v>15</v>
      </c>
      <c r="H182" s="3" t="s">
        <v>49</v>
      </c>
      <c r="I182" s="3" t="s">
        <v>77</v>
      </c>
      <c r="J182" s="3" t="s">
        <v>78</v>
      </c>
      <c r="K182" s="3">
        <v>88.831999999999994</v>
      </c>
    </row>
    <row r="183" spans="1:11" x14ac:dyDescent="0.35">
      <c r="A183"/>
      <c r="E183" s="2">
        <v>43088</v>
      </c>
      <c r="F183" s="3" t="s">
        <v>289</v>
      </c>
      <c r="G183" s="3" t="s">
        <v>15</v>
      </c>
      <c r="H183" s="3" t="s">
        <v>28</v>
      </c>
      <c r="I183" s="3" t="s">
        <v>253</v>
      </c>
      <c r="J183" s="3" t="s">
        <v>290</v>
      </c>
      <c r="K183" s="3">
        <v>36.270000000000003</v>
      </c>
    </row>
    <row r="184" spans="1:11" x14ac:dyDescent="0.35">
      <c r="A184"/>
      <c r="E184" s="2">
        <v>43089</v>
      </c>
      <c r="F184" s="3" t="s">
        <v>291</v>
      </c>
      <c r="G184" s="3" t="s">
        <v>10</v>
      </c>
      <c r="H184" s="3" t="s">
        <v>11</v>
      </c>
      <c r="I184" s="3" t="s">
        <v>81</v>
      </c>
      <c r="J184" s="3" t="s">
        <v>292</v>
      </c>
      <c r="K184" s="3">
        <v>60.984000000000002</v>
      </c>
    </row>
    <row r="185" spans="1:11" x14ac:dyDescent="0.35">
      <c r="A185"/>
      <c r="E185" s="2">
        <v>43091</v>
      </c>
      <c r="F185" s="3" t="s">
        <v>293</v>
      </c>
      <c r="G185" s="3" t="s">
        <v>15</v>
      </c>
      <c r="H185" s="3" t="s">
        <v>28</v>
      </c>
      <c r="I185" s="3" t="s">
        <v>253</v>
      </c>
      <c r="J185" s="3" t="s">
        <v>30</v>
      </c>
      <c r="K185" s="3">
        <v>194.32</v>
      </c>
    </row>
    <row r="186" spans="1:11" x14ac:dyDescent="0.35">
      <c r="A186"/>
      <c r="E186" s="2">
        <v>43093</v>
      </c>
      <c r="F186" s="3" t="s">
        <v>294</v>
      </c>
      <c r="G186" s="3" t="s">
        <v>44</v>
      </c>
      <c r="H186" s="3" t="s">
        <v>49</v>
      </c>
      <c r="I186" s="3" t="s">
        <v>54</v>
      </c>
      <c r="J186" s="3" t="s">
        <v>63</v>
      </c>
      <c r="K186" s="3">
        <v>414.96</v>
      </c>
    </row>
    <row r="187" spans="1:11" x14ac:dyDescent="0.35">
      <c r="A187"/>
      <c r="E187" s="2">
        <v>43095</v>
      </c>
      <c r="F187" s="3" t="s">
        <v>295</v>
      </c>
      <c r="G187" s="3" t="s">
        <v>44</v>
      </c>
      <c r="H187" s="3" t="s">
        <v>49</v>
      </c>
      <c r="I187" s="3" t="s">
        <v>230</v>
      </c>
      <c r="J187" s="3" t="s">
        <v>296</v>
      </c>
      <c r="K187" s="3">
        <v>355.96</v>
      </c>
    </row>
    <row r="188" spans="1:11" x14ac:dyDescent="0.35">
      <c r="A188"/>
      <c r="E188" s="2">
        <v>43095</v>
      </c>
      <c r="F188" s="3" t="s">
        <v>297</v>
      </c>
      <c r="G188" s="3" t="s">
        <v>15</v>
      </c>
      <c r="H188" s="3" t="s">
        <v>11</v>
      </c>
      <c r="I188" s="3" t="s">
        <v>38</v>
      </c>
      <c r="J188" s="3" t="s">
        <v>45</v>
      </c>
      <c r="K188" s="3">
        <v>106.96</v>
      </c>
    </row>
    <row r="189" spans="1:11" x14ac:dyDescent="0.35">
      <c r="A189"/>
      <c r="E189" s="2">
        <v>43121</v>
      </c>
      <c r="F189" s="3" t="s">
        <v>298</v>
      </c>
      <c r="G189" s="3" t="s">
        <v>15</v>
      </c>
      <c r="H189" s="3" t="s">
        <v>28</v>
      </c>
      <c r="I189" s="3" t="s">
        <v>90</v>
      </c>
      <c r="J189" s="3" t="s">
        <v>299</v>
      </c>
      <c r="K189" s="3">
        <v>64.864000000000004</v>
      </c>
    </row>
    <row r="190" spans="1:11" x14ac:dyDescent="0.35">
      <c r="A190"/>
      <c r="E190" s="2">
        <v>43146</v>
      </c>
      <c r="F190" s="3" t="s">
        <v>300</v>
      </c>
      <c r="G190" s="3" t="s">
        <v>10</v>
      </c>
      <c r="H190" s="3" t="s">
        <v>16</v>
      </c>
      <c r="I190" s="3" t="s">
        <v>65</v>
      </c>
      <c r="J190" s="3" t="s">
        <v>66</v>
      </c>
      <c r="K190" s="3">
        <v>92.063999999999993</v>
      </c>
    </row>
    <row r="191" spans="1:11" x14ac:dyDescent="0.35">
      <c r="A191"/>
      <c r="E191" s="2">
        <v>43152</v>
      </c>
      <c r="F191" s="3" t="s">
        <v>301</v>
      </c>
      <c r="G191" s="3" t="s">
        <v>44</v>
      </c>
      <c r="H191" s="3" t="s">
        <v>16</v>
      </c>
      <c r="I191" s="3" t="s">
        <v>151</v>
      </c>
      <c r="J191" s="3" t="s">
        <v>211</v>
      </c>
      <c r="K191" s="3">
        <v>490.32</v>
      </c>
    </row>
    <row r="192" spans="1:11" x14ac:dyDescent="0.35">
      <c r="A192"/>
      <c r="E192" s="2">
        <v>43157</v>
      </c>
      <c r="F192" s="3" t="s">
        <v>302</v>
      </c>
      <c r="G192" s="3" t="s">
        <v>15</v>
      </c>
      <c r="H192" s="3" t="s">
        <v>49</v>
      </c>
      <c r="I192" s="3" t="s">
        <v>54</v>
      </c>
      <c r="J192" s="3" t="s">
        <v>63</v>
      </c>
      <c r="K192" s="3">
        <v>170.88</v>
      </c>
    </row>
    <row r="193" spans="1:11" x14ac:dyDescent="0.35">
      <c r="A193"/>
      <c r="E193" s="2">
        <v>43164</v>
      </c>
      <c r="F193" s="3" t="s">
        <v>303</v>
      </c>
      <c r="G193" s="3" t="s">
        <v>15</v>
      </c>
      <c r="H193" s="3" t="s">
        <v>16</v>
      </c>
      <c r="I193" s="3" t="s">
        <v>65</v>
      </c>
      <c r="J193" s="3" t="s">
        <v>66</v>
      </c>
      <c r="K193" s="3">
        <v>2.3340000000000001</v>
      </c>
    </row>
    <row r="194" spans="1:11" x14ac:dyDescent="0.35">
      <c r="A194"/>
      <c r="E194" s="2">
        <v>43166</v>
      </c>
      <c r="F194" s="3" t="s">
        <v>304</v>
      </c>
      <c r="G194" s="3" t="s">
        <v>10</v>
      </c>
      <c r="H194" s="3" t="s">
        <v>16</v>
      </c>
      <c r="I194" s="3" t="s">
        <v>17</v>
      </c>
      <c r="J194" s="3" t="s">
        <v>36</v>
      </c>
      <c r="K194" s="3">
        <v>207.14400000000001</v>
      </c>
    </row>
    <row r="195" spans="1:11" x14ac:dyDescent="0.35">
      <c r="A195"/>
      <c r="E195" s="2">
        <v>43170</v>
      </c>
      <c r="F195" s="3" t="s">
        <v>305</v>
      </c>
      <c r="G195" s="3" t="s">
        <v>10</v>
      </c>
      <c r="H195" s="3" t="s">
        <v>11</v>
      </c>
      <c r="I195" s="3" t="s">
        <v>38</v>
      </c>
      <c r="J195" s="3" t="s">
        <v>39</v>
      </c>
      <c r="K195" s="3">
        <v>154.9</v>
      </c>
    </row>
    <row r="196" spans="1:11" x14ac:dyDescent="0.35">
      <c r="A196"/>
      <c r="E196" s="2">
        <v>43171</v>
      </c>
      <c r="F196" s="3" t="s">
        <v>306</v>
      </c>
      <c r="G196" s="3" t="s">
        <v>44</v>
      </c>
      <c r="H196" s="3" t="s">
        <v>11</v>
      </c>
      <c r="I196" s="3" t="s">
        <v>220</v>
      </c>
      <c r="J196" s="3" t="s">
        <v>307</v>
      </c>
      <c r="K196" s="3">
        <v>157.91999999999999</v>
      </c>
    </row>
    <row r="197" spans="1:11" x14ac:dyDescent="0.35">
      <c r="A197"/>
      <c r="E197" s="2">
        <v>43171</v>
      </c>
      <c r="F197" s="3" t="s">
        <v>308</v>
      </c>
      <c r="G197" s="3" t="s">
        <v>44</v>
      </c>
      <c r="H197" s="3" t="s">
        <v>28</v>
      </c>
      <c r="I197" s="3" t="s">
        <v>253</v>
      </c>
      <c r="J197" s="3" t="s">
        <v>309</v>
      </c>
      <c r="K197" s="3">
        <v>160.32</v>
      </c>
    </row>
    <row r="198" spans="1:11" x14ac:dyDescent="0.35">
      <c r="A198"/>
      <c r="E198" s="2">
        <v>43175</v>
      </c>
      <c r="F198" s="3" t="s">
        <v>310</v>
      </c>
      <c r="G198" s="3" t="s">
        <v>15</v>
      </c>
      <c r="H198" s="3" t="s">
        <v>49</v>
      </c>
      <c r="I198" s="3" t="s">
        <v>230</v>
      </c>
      <c r="J198" s="3" t="s">
        <v>168</v>
      </c>
      <c r="K198" s="3">
        <v>901.95</v>
      </c>
    </row>
    <row r="199" spans="1:11" x14ac:dyDescent="0.35">
      <c r="A199"/>
      <c r="E199" s="2">
        <v>43176</v>
      </c>
      <c r="F199" s="3" t="s">
        <v>311</v>
      </c>
      <c r="G199" s="3" t="s">
        <v>15</v>
      </c>
      <c r="H199" s="3" t="s">
        <v>28</v>
      </c>
      <c r="I199" s="3" t="s">
        <v>136</v>
      </c>
      <c r="J199" s="3" t="s">
        <v>168</v>
      </c>
      <c r="K199" s="3">
        <v>871.8</v>
      </c>
    </row>
    <row r="200" spans="1:11" x14ac:dyDescent="0.35">
      <c r="A200"/>
      <c r="E200" s="2">
        <v>43190</v>
      </c>
      <c r="F200" s="3" t="s">
        <v>312</v>
      </c>
      <c r="G200" s="3" t="s">
        <v>10</v>
      </c>
      <c r="H200" s="3" t="s">
        <v>11</v>
      </c>
      <c r="I200" s="3" t="s">
        <v>220</v>
      </c>
      <c r="J200" s="3" t="s">
        <v>313</v>
      </c>
      <c r="K200" s="3">
        <v>30.143999999999998</v>
      </c>
    </row>
    <row r="201" spans="1:11" x14ac:dyDescent="0.35">
      <c r="A201"/>
      <c r="E201" s="2">
        <v>43199</v>
      </c>
      <c r="F201" s="3" t="s">
        <v>314</v>
      </c>
      <c r="G201" s="3" t="s">
        <v>15</v>
      </c>
      <c r="H201" s="3" t="s">
        <v>11</v>
      </c>
      <c r="I201" s="3" t="s">
        <v>38</v>
      </c>
      <c r="J201" s="3" t="s">
        <v>39</v>
      </c>
      <c r="K201" s="3">
        <v>113.76</v>
      </c>
    </row>
    <row r="202" spans="1:11" x14ac:dyDescent="0.35">
      <c r="A202"/>
      <c r="E202" s="2">
        <v>43207</v>
      </c>
      <c r="F202" s="3" t="s">
        <v>315</v>
      </c>
      <c r="G202" s="3" t="s">
        <v>15</v>
      </c>
      <c r="H202" s="3" t="s">
        <v>28</v>
      </c>
      <c r="I202" s="3" t="s">
        <v>253</v>
      </c>
      <c r="J202" s="3" t="s">
        <v>263</v>
      </c>
      <c r="K202" s="3">
        <v>203.92</v>
      </c>
    </row>
    <row r="203" spans="1:11" x14ac:dyDescent="0.35">
      <c r="A203"/>
      <c r="E203" s="2">
        <v>43210</v>
      </c>
      <c r="F203" s="3" t="s">
        <v>316</v>
      </c>
      <c r="G203" s="3" t="s">
        <v>10</v>
      </c>
      <c r="H203" s="3" t="s">
        <v>16</v>
      </c>
      <c r="I203" s="3" t="s">
        <v>65</v>
      </c>
      <c r="J203" s="3" t="s">
        <v>66</v>
      </c>
      <c r="K203" s="3">
        <v>48.792000000000002</v>
      </c>
    </row>
    <row r="204" spans="1:11" x14ac:dyDescent="0.35">
      <c r="A204"/>
      <c r="E204" s="2">
        <v>43211</v>
      </c>
      <c r="F204" s="3" t="s">
        <v>317</v>
      </c>
      <c r="G204" s="3" t="s">
        <v>44</v>
      </c>
      <c r="H204" s="3" t="s">
        <v>11</v>
      </c>
      <c r="I204" s="3" t="s">
        <v>220</v>
      </c>
      <c r="J204" s="3" t="s">
        <v>221</v>
      </c>
      <c r="K204" s="3">
        <v>78.272000000000006</v>
      </c>
    </row>
    <row r="205" spans="1:11" x14ac:dyDescent="0.35">
      <c r="A205"/>
      <c r="E205" s="2">
        <v>43222</v>
      </c>
      <c r="F205" s="3" t="s">
        <v>318</v>
      </c>
      <c r="G205" s="3" t="s">
        <v>15</v>
      </c>
      <c r="H205" s="3" t="s">
        <v>16</v>
      </c>
      <c r="I205" s="3" t="s">
        <v>65</v>
      </c>
      <c r="J205" s="3" t="s">
        <v>66</v>
      </c>
      <c r="K205" s="3">
        <v>26.405999999999999</v>
      </c>
    </row>
    <row r="206" spans="1:11" x14ac:dyDescent="0.35">
      <c r="A206"/>
      <c r="E206" s="2">
        <v>43225</v>
      </c>
      <c r="F206" s="3" t="s">
        <v>319</v>
      </c>
      <c r="G206" s="3" t="s">
        <v>44</v>
      </c>
      <c r="H206" s="3" t="s">
        <v>16</v>
      </c>
      <c r="I206" s="3" t="s">
        <v>320</v>
      </c>
      <c r="J206" s="3" t="s">
        <v>13</v>
      </c>
      <c r="K206" s="3">
        <v>54.48</v>
      </c>
    </row>
    <row r="207" spans="1:11" x14ac:dyDescent="0.35">
      <c r="A207"/>
      <c r="E207" s="2">
        <v>43228</v>
      </c>
      <c r="F207" s="3" t="s">
        <v>321</v>
      </c>
      <c r="G207" s="3" t="s">
        <v>10</v>
      </c>
      <c r="H207" s="3" t="s">
        <v>16</v>
      </c>
      <c r="I207" s="3" t="s">
        <v>23</v>
      </c>
      <c r="J207" s="3" t="s">
        <v>322</v>
      </c>
      <c r="K207" s="3">
        <v>48.783999999999999</v>
      </c>
    </row>
    <row r="208" spans="1:11" x14ac:dyDescent="0.35">
      <c r="A208"/>
      <c r="E208" s="2">
        <v>43231</v>
      </c>
      <c r="F208" s="3" t="s">
        <v>323</v>
      </c>
      <c r="G208" s="3" t="s">
        <v>15</v>
      </c>
      <c r="H208" s="3" t="s">
        <v>11</v>
      </c>
      <c r="I208" s="3" t="s">
        <v>38</v>
      </c>
      <c r="J208" s="3" t="s">
        <v>324</v>
      </c>
      <c r="K208" s="3">
        <v>8.67</v>
      </c>
    </row>
    <row r="209" spans="1:11" x14ac:dyDescent="0.35">
      <c r="A209"/>
      <c r="E209" s="2">
        <v>43238</v>
      </c>
      <c r="F209" s="3" t="s">
        <v>31</v>
      </c>
      <c r="G209" s="3" t="s">
        <v>15</v>
      </c>
      <c r="H209" s="3" t="s">
        <v>49</v>
      </c>
      <c r="I209" s="3" t="s">
        <v>54</v>
      </c>
      <c r="J209" s="3" t="s">
        <v>63</v>
      </c>
      <c r="K209" s="3">
        <v>242.9</v>
      </c>
    </row>
    <row r="210" spans="1:11" x14ac:dyDescent="0.35">
      <c r="A210"/>
      <c r="E210" s="2">
        <v>43238</v>
      </c>
      <c r="F210" s="3" t="s">
        <v>325</v>
      </c>
      <c r="G210" s="3" t="s">
        <v>10</v>
      </c>
      <c r="H210" s="3" t="s">
        <v>11</v>
      </c>
      <c r="I210" s="3" t="s">
        <v>38</v>
      </c>
      <c r="J210" s="3" t="s">
        <v>45</v>
      </c>
      <c r="K210" s="3">
        <v>87.84</v>
      </c>
    </row>
    <row r="211" spans="1:11" x14ac:dyDescent="0.35">
      <c r="A211"/>
      <c r="E211" s="2">
        <v>43241</v>
      </c>
      <c r="F211" s="3" t="s">
        <v>283</v>
      </c>
      <c r="G211" s="3" t="s">
        <v>15</v>
      </c>
      <c r="H211" s="3" t="s">
        <v>49</v>
      </c>
      <c r="I211" s="3" t="s">
        <v>117</v>
      </c>
      <c r="J211" s="3" t="s">
        <v>326</v>
      </c>
      <c r="K211" s="3">
        <v>662.84</v>
      </c>
    </row>
    <row r="212" spans="1:11" x14ac:dyDescent="0.35">
      <c r="A212"/>
      <c r="E212" s="2">
        <v>43245</v>
      </c>
      <c r="F212" s="3" t="s">
        <v>173</v>
      </c>
      <c r="G212" s="3" t="s">
        <v>10</v>
      </c>
      <c r="H212" s="3" t="s">
        <v>49</v>
      </c>
      <c r="I212" s="3" t="s">
        <v>77</v>
      </c>
      <c r="J212" s="3" t="s">
        <v>78</v>
      </c>
      <c r="K212" s="3">
        <v>34.847999999999999</v>
      </c>
    </row>
    <row r="213" spans="1:11" x14ac:dyDescent="0.35">
      <c r="A213"/>
      <c r="E213" s="2">
        <v>43247</v>
      </c>
      <c r="F213" s="3" t="s">
        <v>327</v>
      </c>
      <c r="G213" s="3" t="s">
        <v>15</v>
      </c>
      <c r="H213" s="3" t="s">
        <v>11</v>
      </c>
      <c r="I213" s="3" t="s">
        <v>38</v>
      </c>
      <c r="J213" s="3" t="s">
        <v>45</v>
      </c>
      <c r="K213" s="3">
        <v>262.24</v>
      </c>
    </row>
    <row r="214" spans="1:11" x14ac:dyDescent="0.35">
      <c r="A214"/>
      <c r="E214" s="2">
        <v>43249</v>
      </c>
      <c r="F214" s="3" t="s">
        <v>111</v>
      </c>
      <c r="G214" s="3" t="s">
        <v>15</v>
      </c>
      <c r="H214" s="3" t="s">
        <v>49</v>
      </c>
      <c r="I214" s="3" t="s">
        <v>50</v>
      </c>
      <c r="J214" s="3" t="s">
        <v>328</v>
      </c>
      <c r="K214" s="3">
        <v>123.92</v>
      </c>
    </row>
    <row r="215" spans="1:11" x14ac:dyDescent="0.35">
      <c r="A215"/>
      <c r="E215" s="2">
        <v>43249</v>
      </c>
      <c r="F215" s="3" t="s">
        <v>329</v>
      </c>
      <c r="G215" s="3" t="s">
        <v>44</v>
      </c>
      <c r="H215" s="3" t="s">
        <v>16</v>
      </c>
      <c r="I215" s="3" t="s">
        <v>151</v>
      </c>
      <c r="J215" s="3" t="s">
        <v>330</v>
      </c>
      <c r="K215" s="3">
        <v>364.74</v>
      </c>
    </row>
    <row r="216" spans="1:11" x14ac:dyDescent="0.35">
      <c r="A216"/>
      <c r="E216" s="2">
        <v>43255</v>
      </c>
      <c r="F216" s="3" t="s">
        <v>331</v>
      </c>
      <c r="G216" s="3" t="s">
        <v>15</v>
      </c>
      <c r="H216" s="3" t="s">
        <v>11</v>
      </c>
      <c r="I216" s="3" t="s">
        <v>38</v>
      </c>
      <c r="J216" s="3" t="s">
        <v>332</v>
      </c>
      <c r="K216" s="3">
        <v>58.24</v>
      </c>
    </row>
    <row r="217" spans="1:11" x14ac:dyDescent="0.35">
      <c r="A217"/>
      <c r="E217" s="2">
        <v>43262</v>
      </c>
      <c r="F217" s="3" t="s">
        <v>333</v>
      </c>
      <c r="G217" s="3" t="s">
        <v>10</v>
      </c>
      <c r="H217" s="3" t="s">
        <v>28</v>
      </c>
      <c r="I217" s="3" t="s">
        <v>334</v>
      </c>
      <c r="J217" s="3" t="s">
        <v>335</v>
      </c>
      <c r="K217" s="3">
        <v>208.16</v>
      </c>
    </row>
    <row r="218" spans="1:11" x14ac:dyDescent="0.35">
      <c r="A218"/>
      <c r="E218" s="2">
        <v>43262</v>
      </c>
      <c r="F218" s="3" t="s">
        <v>318</v>
      </c>
      <c r="G218" s="3" t="s">
        <v>15</v>
      </c>
      <c r="H218" s="3" t="s">
        <v>49</v>
      </c>
      <c r="I218" s="3" t="s">
        <v>54</v>
      </c>
      <c r="J218" s="3" t="s">
        <v>115</v>
      </c>
      <c r="K218" s="3">
        <v>52.56</v>
      </c>
    </row>
    <row r="219" spans="1:11" x14ac:dyDescent="0.35">
      <c r="A219"/>
      <c r="E219" s="2">
        <v>43262</v>
      </c>
      <c r="F219" s="3" t="s">
        <v>336</v>
      </c>
      <c r="G219" s="3" t="s">
        <v>44</v>
      </c>
      <c r="H219" s="3" t="s">
        <v>16</v>
      </c>
      <c r="I219" s="3" t="s">
        <v>23</v>
      </c>
      <c r="J219" s="3" t="s">
        <v>26</v>
      </c>
      <c r="K219" s="3">
        <v>64.384</v>
      </c>
    </row>
    <row r="220" spans="1:11" x14ac:dyDescent="0.35">
      <c r="A220"/>
      <c r="E220" s="2">
        <v>43268</v>
      </c>
      <c r="F220" s="3" t="s">
        <v>333</v>
      </c>
      <c r="G220" s="3" t="s">
        <v>10</v>
      </c>
      <c r="H220" s="3" t="s">
        <v>49</v>
      </c>
      <c r="I220" s="3" t="s">
        <v>77</v>
      </c>
      <c r="J220" s="3" t="s">
        <v>78</v>
      </c>
      <c r="K220" s="3">
        <v>453.6</v>
      </c>
    </row>
    <row r="221" spans="1:11" x14ac:dyDescent="0.35">
      <c r="A221"/>
      <c r="E221" s="2">
        <v>43270</v>
      </c>
      <c r="F221" s="3" t="s">
        <v>337</v>
      </c>
      <c r="G221" s="3" t="s">
        <v>44</v>
      </c>
      <c r="H221" s="3" t="s">
        <v>49</v>
      </c>
      <c r="I221" s="3" t="s">
        <v>77</v>
      </c>
      <c r="J221" s="3" t="s">
        <v>78</v>
      </c>
      <c r="K221" s="3">
        <v>447.69600000000003</v>
      </c>
    </row>
    <row r="222" spans="1:11" x14ac:dyDescent="0.35">
      <c r="A222"/>
      <c r="E222" s="2">
        <v>43270</v>
      </c>
      <c r="F222" s="3" t="s">
        <v>338</v>
      </c>
      <c r="G222" s="3" t="s">
        <v>15</v>
      </c>
      <c r="H222" s="3" t="s">
        <v>11</v>
      </c>
      <c r="I222" s="3" t="s">
        <v>38</v>
      </c>
      <c r="J222" s="3" t="s">
        <v>339</v>
      </c>
      <c r="K222" s="3">
        <v>21.78</v>
      </c>
    </row>
    <row r="223" spans="1:11" x14ac:dyDescent="0.35">
      <c r="A223"/>
      <c r="E223" s="2">
        <v>43274</v>
      </c>
      <c r="F223" s="3" t="s">
        <v>340</v>
      </c>
      <c r="G223" s="3" t="s">
        <v>10</v>
      </c>
      <c r="H223" s="3" t="s">
        <v>16</v>
      </c>
      <c r="I223" s="3" t="s">
        <v>23</v>
      </c>
      <c r="J223" s="3" t="s">
        <v>26</v>
      </c>
      <c r="K223" s="3">
        <v>8.7119999999999997</v>
      </c>
    </row>
    <row r="224" spans="1:11" x14ac:dyDescent="0.35">
      <c r="A224"/>
      <c r="E224" s="2">
        <v>43274</v>
      </c>
      <c r="F224" s="3" t="s">
        <v>341</v>
      </c>
      <c r="G224" s="3" t="s">
        <v>15</v>
      </c>
      <c r="H224" s="3" t="s">
        <v>11</v>
      </c>
      <c r="I224" s="3" t="s">
        <v>38</v>
      </c>
      <c r="J224" s="3" t="s">
        <v>103</v>
      </c>
      <c r="K224" s="3">
        <v>241.44</v>
      </c>
    </row>
    <row r="225" spans="1:11" x14ac:dyDescent="0.35">
      <c r="A225"/>
      <c r="E225" s="2">
        <v>43275</v>
      </c>
      <c r="F225" s="3" t="s">
        <v>342</v>
      </c>
      <c r="G225" s="3" t="s">
        <v>15</v>
      </c>
      <c r="H225" s="3" t="s">
        <v>11</v>
      </c>
      <c r="I225" s="3" t="s">
        <v>38</v>
      </c>
      <c r="J225" s="3" t="s">
        <v>45</v>
      </c>
      <c r="K225" s="3">
        <v>60.81</v>
      </c>
    </row>
    <row r="226" spans="1:11" x14ac:dyDescent="0.35">
      <c r="A226"/>
      <c r="E226" s="2">
        <v>43278</v>
      </c>
      <c r="F226" s="3" t="s">
        <v>343</v>
      </c>
      <c r="G226" s="3" t="s">
        <v>15</v>
      </c>
      <c r="H226" s="3" t="s">
        <v>49</v>
      </c>
      <c r="I226" s="3" t="s">
        <v>117</v>
      </c>
      <c r="J226" s="3" t="s">
        <v>244</v>
      </c>
      <c r="K226" s="3">
        <v>8.74</v>
      </c>
    </row>
    <row r="227" spans="1:11" x14ac:dyDescent="0.35">
      <c r="A227"/>
      <c r="E227" s="2">
        <v>43278</v>
      </c>
      <c r="F227" s="3" t="s">
        <v>343</v>
      </c>
      <c r="G227" s="3" t="s">
        <v>15</v>
      </c>
      <c r="H227" s="3" t="s">
        <v>49</v>
      </c>
      <c r="I227" s="3" t="s">
        <v>117</v>
      </c>
      <c r="J227" s="3" t="s">
        <v>244</v>
      </c>
      <c r="K227" s="3">
        <v>275.24</v>
      </c>
    </row>
    <row r="228" spans="1:11" x14ac:dyDescent="0.35">
      <c r="A228"/>
      <c r="E228" s="2">
        <v>43283</v>
      </c>
      <c r="F228" s="3" t="s">
        <v>305</v>
      </c>
      <c r="G228" s="3" t="s">
        <v>10</v>
      </c>
      <c r="H228" s="3" t="s">
        <v>49</v>
      </c>
      <c r="I228" s="3" t="s">
        <v>54</v>
      </c>
      <c r="J228" s="3" t="s">
        <v>63</v>
      </c>
      <c r="K228" s="3">
        <v>706.86</v>
      </c>
    </row>
    <row r="229" spans="1:11" x14ac:dyDescent="0.35">
      <c r="A229"/>
      <c r="E229" s="2">
        <v>43294</v>
      </c>
      <c r="F229" s="3" t="s">
        <v>344</v>
      </c>
      <c r="G229" s="3" t="s">
        <v>15</v>
      </c>
      <c r="H229" s="3" t="s">
        <v>11</v>
      </c>
      <c r="I229" s="3" t="s">
        <v>38</v>
      </c>
      <c r="J229" s="3" t="s">
        <v>39</v>
      </c>
      <c r="K229" s="3">
        <v>151.62</v>
      </c>
    </row>
    <row r="230" spans="1:11" x14ac:dyDescent="0.35">
      <c r="A230"/>
      <c r="E230" s="2">
        <v>43297</v>
      </c>
      <c r="F230" s="3" t="s">
        <v>345</v>
      </c>
      <c r="G230" s="3" t="s">
        <v>10</v>
      </c>
      <c r="H230" s="3" t="s">
        <v>49</v>
      </c>
      <c r="I230" s="3" t="s">
        <v>117</v>
      </c>
      <c r="J230" s="3" t="s">
        <v>346</v>
      </c>
      <c r="K230" s="3">
        <v>162.63999999999999</v>
      </c>
    </row>
    <row r="231" spans="1:11" x14ac:dyDescent="0.35">
      <c r="A231"/>
      <c r="E231" s="2">
        <v>43297</v>
      </c>
      <c r="F231" s="3" t="s">
        <v>277</v>
      </c>
      <c r="G231" s="3" t="s">
        <v>15</v>
      </c>
      <c r="H231" s="3" t="s">
        <v>49</v>
      </c>
      <c r="I231" s="3" t="s">
        <v>54</v>
      </c>
      <c r="J231" s="3" t="s">
        <v>63</v>
      </c>
      <c r="K231" s="3">
        <v>45.96</v>
      </c>
    </row>
    <row r="232" spans="1:11" x14ac:dyDescent="0.35">
      <c r="A232"/>
      <c r="E232" s="2">
        <v>43302</v>
      </c>
      <c r="F232" s="3" t="s">
        <v>347</v>
      </c>
      <c r="G232" s="3" t="s">
        <v>10</v>
      </c>
      <c r="H232" s="3" t="s">
        <v>49</v>
      </c>
      <c r="I232" s="3" t="s">
        <v>230</v>
      </c>
      <c r="J232" s="3" t="s">
        <v>168</v>
      </c>
      <c r="K232" s="3">
        <v>37.68</v>
      </c>
    </row>
    <row r="233" spans="1:11" x14ac:dyDescent="0.35">
      <c r="A233"/>
      <c r="E233" s="2">
        <v>43303</v>
      </c>
      <c r="F233" s="3" t="s">
        <v>122</v>
      </c>
      <c r="G233" s="3" t="s">
        <v>10</v>
      </c>
      <c r="H233" s="3" t="s">
        <v>28</v>
      </c>
      <c r="I233" s="3" t="s">
        <v>107</v>
      </c>
      <c r="J233" s="3" t="s">
        <v>124</v>
      </c>
      <c r="K233" s="3">
        <v>23.696000000000002</v>
      </c>
    </row>
    <row r="234" spans="1:11" x14ac:dyDescent="0.35">
      <c r="A234"/>
      <c r="E234" s="2">
        <v>43305</v>
      </c>
      <c r="F234" s="3" t="s">
        <v>348</v>
      </c>
      <c r="G234" s="3" t="s">
        <v>10</v>
      </c>
      <c r="H234" s="3" t="s">
        <v>49</v>
      </c>
      <c r="I234" s="3" t="s">
        <v>50</v>
      </c>
      <c r="J234" s="3" t="s">
        <v>205</v>
      </c>
      <c r="K234" s="3">
        <v>243.88</v>
      </c>
    </row>
    <row r="235" spans="1:11" x14ac:dyDescent="0.35">
      <c r="A235"/>
      <c r="E235" s="2">
        <v>43308</v>
      </c>
      <c r="F235" s="3" t="s">
        <v>349</v>
      </c>
      <c r="G235" s="3" t="s">
        <v>15</v>
      </c>
      <c r="H235" s="3" t="s">
        <v>49</v>
      </c>
      <c r="I235" s="3" t="s">
        <v>77</v>
      </c>
      <c r="J235" s="3" t="s">
        <v>350</v>
      </c>
      <c r="K235" s="3">
        <v>9.48</v>
      </c>
    </row>
    <row r="236" spans="1:11" x14ac:dyDescent="0.35">
      <c r="A236"/>
      <c r="E236" s="2">
        <v>43310</v>
      </c>
      <c r="F236" s="3" t="s">
        <v>351</v>
      </c>
      <c r="G236" s="3" t="s">
        <v>10</v>
      </c>
      <c r="H236" s="3" t="s">
        <v>11</v>
      </c>
      <c r="I236" s="3" t="s">
        <v>38</v>
      </c>
      <c r="J236" s="3" t="s">
        <v>39</v>
      </c>
      <c r="K236" s="3">
        <v>715.64</v>
      </c>
    </row>
    <row r="237" spans="1:11" x14ac:dyDescent="0.35">
      <c r="A237"/>
      <c r="E237" s="2">
        <v>43311</v>
      </c>
      <c r="F237" s="3" t="s">
        <v>352</v>
      </c>
      <c r="G237" s="3" t="s">
        <v>15</v>
      </c>
      <c r="H237" s="3" t="s">
        <v>16</v>
      </c>
      <c r="I237" s="3" t="s">
        <v>17</v>
      </c>
      <c r="J237" s="3" t="s">
        <v>70</v>
      </c>
      <c r="K237" s="3">
        <v>283.14</v>
      </c>
    </row>
    <row r="238" spans="1:11" x14ac:dyDescent="0.35">
      <c r="A238"/>
      <c r="E238" s="2">
        <v>43312</v>
      </c>
      <c r="F238" s="3" t="s">
        <v>156</v>
      </c>
      <c r="G238" s="3" t="s">
        <v>10</v>
      </c>
      <c r="H238" s="3" t="s">
        <v>11</v>
      </c>
      <c r="I238" s="3" t="s">
        <v>38</v>
      </c>
      <c r="J238" s="3" t="s">
        <v>286</v>
      </c>
      <c r="K238" s="3">
        <v>45.96</v>
      </c>
    </row>
    <row r="239" spans="1:11" x14ac:dyDescent="0.35">
      <c r="A239"/>
      <c r="E239" s="2">
        <v>43319</v>
      </c>
      <c r="F239" s="3" t="s">
        <v>353</v>
      </c>
      <c r="G239" s="3" t="s">
        <v>44</v>
      </c>
      <c r="H239" s="3" t="s">
        <v>11</v>
      </c>
      <c r="I239" s="3" t="s">
        <v>38</v>
      </c>
      <c r="J239" s="3" t="s">
        <v>45</v>
      </c>
      <c r="K239" s="3">
        <v>487.92</v>
      </c>
    </row>
    <row r="240" spans="1:11" x14ac:dyDescent="0.35">
      <c r="A240"/>
      <c r="E240" s="2">
        <v>43320</v>
      </c>
      <c r="F240" s="3" t="s">
        <v>354</v>
      </c>
      <c r="G240" s="3" t="s">
        <v>15</v>
      </c>
      <c r="H240" s="3" t="s">
        <v>28</v>
      </c>
      <c r="I240" s="3" t="s">
        <v>90</v>
      </c>
      <c r="J240" s="3" t="s">
        <v>299</v>
      </c>
      <c r="K240" s="3">
        <v>569.53599999999994</v>
      </c>
    </row>
    <row r="241" spans="1:11" x14ac:dyDescent="0.35">
      <c r="A241"/>
      <c r="E241" s="2">
        <v>43324</v>
      </c>
      <c r="F241" s="3" t="s">
        <v>143</v>
      </c>
      <c r="G241" s="3" t="s">
        <v>15</v>
      </c>
      <c r="H241" s="3" t="s">
        <v>28</v>
      </c>
      <c r="I241" s="3" t="s">
        <v>355</v>
      </c>
      <c r="J241" s="3" t="s">
        <v>356</v>
      </c>
      <c r="K241" s="3">
        <v>17.34</v>
      </c>
    </row>
    <row r="242" spans="1:11" x14ac:dyDescent="0.35">
      <c r="A242"/>
      <c r="E242" s="2">
        <v>43324</v>
      </c>
      <c r="F242" s="3" t="s">
        <v>357</v>
      </c>
      <c r="G242" s="3" t="s">
        <v>15</v>
      </c>
      <c r="H242" s="3" t="s">
        <v>16</v>
      </c>
      <c r="I242" s="3" t="s">
        <v>23</v>
      </c>
      <c r="J242" s="3" t="s">
        <v>358</v>
      </c>
      <c r="K242" s="3">
        <v>58.923999999999999</v>
      </c>
    </row>
    <row r="243" spans="1:11" x14ac:dyDescent="0.35">
      <c r="A243"/>
      <c r="E243" s="2">
        <v>43326</v>
      </c>
      <c r="F243" s="3" t="s">
        <v>359</v>
      </c>
      <c r="G243" s="3" t="s">
        <v>15</v>
      </c>
      <c r="H243" s="3" t="s">
        <v>11</v>
      </c>
      <c r="I243" s="3" t="s">
        <v>81</v>
      </c>
      <c r="J243" s="3" t="s">
        <v>82</v>
      </c>
      <c r="K243" s="3">
        <v>122.328</v>
      </c>
    </row>
    <row r="244" spans="1:11" x14ac:dyDescent="0.35">
      <c r="A244"/>
      <c r="E244" s="2">
        <v>43329</v>
      </c>
      <c r="F244" s="3" t="s">
        <v>360</v>
      </c>
      <c r="G244" s="3" t="s">
        <v>10</v>
      </c>
      <c r="H244" s="3" t="s">
        <v>49</v>
      </c>
      <c r="I244" s="3" t="s">
        <v>54</v>
      </c>
      <c r="J244" s="3" t="s">
        <v>63</v>
      </c>
      <c r="K244" s="3">
        <v>355.32</v>
      </c>
    </row>
    <row r="245" spans="1:11" x14ac:dyDescent="0.35">
      <c r="A245"/>
      <c r="E245" s="2">
        <v>43333</v>
      </c>
      <c r="F245" s="3" t="s">
        <v>361</v>
      </c>
      <c r="G245" s="3" t="s">
        <v>15</v>
      </c>
      <c r="H245" s="3" t="s">
        <v>49</v>
      </c>
      <c r="I245" s="3" t="s">
        <v>50</v>
      </c>
      <c r="J245" s="3" t="s">
        <v>51</v>
      </c>
      <c r="K245" s="3">
        <v>113.55200000000001</v>
      </c>
    </row>
    <row r="246" spans="1:11" x14ac:dyDescent="0.35">
      <c r="A246"/>
      <c r="E246" s="2">
        <v>43334</v>
      </c>
      <c r="F246" s="3" t="s">
        <v>362</v>
      </c>
      <c r="G246" s="3" t="s">
        <v>15</v>
      </c>
      <c r="H246" s="3" t="s">
        <v>11</v>
      </c>
      <c r="I246" s="3" t="s">
        <v>20</v>
      </c>
      <c r="J246" s="3" t="s">
        <v>21</v>
      </c>
      <c r="K246" s="3">
        <v>43.1</v>
      </c>
    </row>
    <row r="247" spans="1:11" x14ac:dyDescent="0.35">
      <c r="A247"/>
      <c r="E247" s="2">
        <v>43334</v>
      </c>
      <c r="F247" s="3" t="s">
        <v>363</v>
      </c>
      <c r="G247" s="3" t="s">
        <v>10</v>
      </c>
      <c r="H247" s="3" t="s">
        <v>49</v>
      </c>
      <c r="I247" s="3" t="s">
        <v>54</v>
      </c>
      <c r="J247" s="3" t="s">
        <v>63</v>
      </c>
      <c r="K247" s="3">
        <v>1040.8</v>
      </c>
    </row>
    <row r="248" spans="1:11" x14ac:dyDescent="0.35">
      <c r="A248"/>
      <c r="E248" s="2">
        <v>43343</v>
      </c>
      <c r="F248" s="3" t="s">
        <v>364</v>
      </c>
      <c r="G248" s="3" t="s">
        <v>15</v>
      </c>
      <c r="H248" s="3" t="s">
        <v>16</v>
      </c>
      <c r="I248" s="3" t="s">
        <v>17</v>
      </c>
      <c r="J248" s="3" t="s">
        <v>70</v>
      </c>
      <c r="K248" s="3">
        <v>376.74</v>
      </c>
    </row>
    <row r="249" spans="1:11" x14ac:dyDescent="0.35">
      <c r="A249"/>
      <c r="E249" s="2">
        <v>43344</v>
      </c>
      <c r="F249" s="3" t="s">
        <v>365</v>
      </c>
      <c r="G249" s="3" t="s">
        <v>15</v>
      </c>
      <c r="H249" s="3" t="s">
        <v>28</v>
      </c>
      <c r="I249" s="3" t="s">
        <v>90</v>
      </c>
      <c r="J249" s="3" t="s">
        <v>91</v>
      </c>
      <c r="K249" s="3">
        <v>309.45600000000002</v>
      </c>
    </row>
    <row r="250" spans="1:11" x14ac:dyDescent="0.35">
      <c r="A250"/>
      <c r="E250" s="2">
        <v>43346</v>
      </c>
      <c r="F250" s="3" t="s">
        <v>366</v>
      </c>
      <c r="G250" s="3" t="s">
        <v>15</v>
      </c>
      <c r="H250" s="3" t="s">
        <v>28</v>
      </c>
      <c r="I250" s="3" t="s">
        <v>136</v>
      </c>
      <c r="J250" s="3" t="s">
        <v>367</v>
      </c>
      <c r="K250" s="3">
        <v>87.168000000000006</v>
      </c>
    </row>
    <row r="251" spans="1:11" x14ac:dyDescent="0.35">
      <c r="A251"/>
      <c r="E251" s="2">
        <v>43347</v>
      </c>
      <c r="F251" s="3" t="s">
        <v>368</v>
      </c>
      <c r="G251" s="3" t="s">
        <v>44</v>
      </c>
      <c r="H251" s="3" t="s">
        <v>16</v>
      </c>
      <c r="I251" s="3" t="s">
        <v>23</v>
      </c>
      <c r="J251" s="3" t="s">
        <v>26</v>
      </c>
      <c r="K251" s="3">
        <v>62.79</v>
      </c>
    </row>
    <row r="252" spans="1:11" x14ac:dyDescent="0.35">
      <c r="A252"/>
      <c r="E252" s="2">
        <v>43348</v>
      </c>
      <c r="F252" s="3" t="s">
        <v>291</v>
      </c>
      <c r="G252" s="3" t="s">
        <v>10</v>
      </c>
      <c r="H252" s="3" t="s">
        <v>16</v>
      </c>
      <c r="I252" s="3" t="s">
        <v>32</v>
      </c>
      <c r="J252" s="3" t="s">
        <v>369</v>
      </c>
      <c r="K252" s="3">
        <v>77.88</v>
      </c>
    </row>
    <row r="253" spans="1:11" x14ac:dyDescent="0.35">
      <c r="A253"/>
      <c r="E253" s="2">
        <v>43350</v>
      </c>
      <c r="F253" s="3" t="s">
        <v>370</v>
      </c>
      <c r="G253" s="3" t="s">
        <v>44</v>
      </c>
      <c r="H253" s="3" t="s">
        <v>49</v>
      </c>
      <c r="I253" s="3" t="s">
        <v>54</v>
      </c>
      <c r="J253" s="3" t="s">
        <v>63</v>
      </c>
      <c r="K253" s="3">
        <v>207.48</v>
      </c>
    </row>
    <row r="254" spans="1:11" x14ac:dyDescent="0.35">
      <c r="A254"/>
      <c r="E254" s="2">
        <v>43355</v>
      </c>
      <c r="F254" s="3" t="s">
        <v>371</v>
      </c>
      <c r="G254" s="3" t="s">
        <v>15</v>
      </c>
      <c r="H254" s="3" t="s">
        <v>16</v>
      </c>
      <c r="I254" s="3" t="s">
        <v>129</v>
      </c>
      <c r="J254" s="3" t="s">
        <v>130</v>
      </c>
      <c r="K254" s="3">
        <v>378</v>
      </c>
    </row>
    <row r="255" spans="1:11" x14ac:dyDescent="0.35">
      <c r="A255"/>
      <c r="E255" s="2">
        <v>43358</v>
      </c>
      <c r="F255" s="3" t="s">
        <v>372</v>
      </c>
      <c r="G255" s="3" t="s">
        <v>10</v>
      </c>
      <c r="H255" s="3" t="s">
        <v>11</v>
      </c>
      <c r="I255" s="3" t="s">
        <v>38</v>
      </c>
      <c r="J255" s="3" t="s">
        <v>373</v>
      </c>
      <c r="K255" s="3">
        <v>17.48</v>
      </c>
    </row>
    <row r="256" spans="1:11" x14ac:dyDescent="0.35">
      <c r="A256"/>
      <c r="E256" s="2">
        <v>43362</v>
      </c>
      <c r="F256" s="3" t="s">
        <v>374</v>
      </c>
      <c r="G256" s="3" t="s">
        <v>15</v>
      </c>
      <c r="H256" s="3" t="s">
        <v>49</v>
      </c>
      <c r="I256" s="3" t="s">
        <v>54</v>
      </c>
      <c r="J256" s="3" t="s">
        <v>63</v>
      </c>
      <c r="K256" s="3">
        <v>393.25</v>
      </c>
    </row>
    <row r="257" spans="1:11" x14ac:dyDescent="0.35">
      <c r="A257"/>
      <c r="E257" s="2">
        <v>43367</v>
      </c>
      <c r="F257" s="3" t="s">
        <v>167</v>
      </c>
      <c r="G257" s="3" t="s">
        <v>15</v>
      </c>
      <c r="H257" s="3" t="s">
        <v>49</v>
      </c>
      <c r="I257" s="3" t="s">
        <v>50</v>
      </c>
      <c r="J257" s="3" t="s">
        <v>375</v>
      </c>
      <c r="K257" s="3">
        <v>286.25599999999997</v>
      </c>
    </row>
    <row r="258" spans="1:11" x14ac:dyDescent="0.35">
      <c r="A258"/>
      <c r="E258" s="2">
        <v>43368</v>
      </c>
      <c r="F258" s="3" t="s">
        <v>376</v>
      </c>
      <c r="G258" s="3" t="s">
        <v>44</v>
      </c>
      <c r="H258" s="3" t="s">
        <v>11</v>
      </c>
      <c r="I258" s="3" t="s">
        <v>20</v>
      </c>
      <c r="J258" s="3" t="s">
        <v>377</v>
      </c>
      <c r="K258" s="3">
        <v>236.88</v>
      </c>
    </row>
    <row r="259" spans="1:11" x14ac:dyDescent="0.35">
      <c r="A259"/>
      <c r="E259" s="2">
        <v>43368</v>
      </c>
      <c r="F259" s="3" t="s">
        <v>378</v>
      </c>
      <c r="G259" s="3" t="s">
        <v>10</v>
      </c>
      <c r="H259" s="3" t="s">
        <v>16</v>
      </c>
      <c r="I259" s="3" t="s">
        <v>23</v>
      </c>
      <c r="J259" s="3" t="s">
        <v>26</v>
      </c>
      <c r="K259" s="3">
        <v>93.031999999999996</v>
      </c>
    </row>
    <row r="260" spans="1:11" x14ac:dyDescent="0.35">
      <c r="A260"/>
      <c r="E260" s="2">
        <v>43374</v>
      </c>
      <c r="F260" s="3" t="s">
        <v>379</v>
      </c>
      <c r="G260" s="3" t="s">
        <v>10</v>
      </c>
      <c r="H260" s="3" t="s">
        <v>49</v>
      </c>
      <c r="I260" s="3" t="s">
        <v>54</v>
      </c>
      <c r="J260" s="3" t="s">
        <v>63</v>
      </c>
      <c r="K260" s="3">
        <v>61.44</v>
      </c>
    </row>
    <row r="261" spans="1:11" x14ac:dyDescent="0.35">
      <c r="A261"/>
      <c r="E261" s="2">
        <v>43387</v>
      </c>
      <c r="F261" s="3" t="s">
        <v>177</v>
      </c>
      <c r="G261" s="3" t="s">
        <v>44</v>
      </c>
      <c r="H261" s="3" t="s">
        <v>16</v>
      </c>
      <c r="I261" s="3" t="s">
        <v>74</v>
      </c>
      <c r="J261" s="3" t="s">
        <v>380</v>
      </c>
      <c r="K261" s="3">
        <v>868.59</v>
      </c>
    </row>
    <row r="262" spans="1:11" x14ac:dyDescent="0.35">
      <c r="A262"/>
      <c r="E262" s="2">
        <v>43387</v>
      </c>
      <c r="F262" s="3" t="s">
        <v>69</v>
      </c>
      <c r="G262" s="3" t="s">
        <v>10</v>
      </c>
      <c r="H262" s="3" t="s">
        <v>28</v>
      </c>
      <c r="I262" s="3" t="s">
        <v>253</v>
      </c>
      <c r="J262" s="3" t="s">
        <v>13</v>
      </c>
      <c r="K262" s="3">
        <v>43.26</v>
      </c>
    </row>
    <row r="263" spans="1:11" x14ac:dyDescent="0.35">
      <c r="A263"/>
      <c r="E263" s="2">
        <v>43389</v>
      </c>
      <c r="F263" s="3" t="s">
        <v>381</v>
      </c>
      <c r="G263" s="3" t="s">
        <v>44</v>
      </c>
      <c r="H263" s="3" t="s">
        <v>16</v>
      </c>
      <c r="I263" s="3" t="s">
        <v>320</v>
      </c>
      <c r="J263" s="3" t="s">
        <v>168</v>
      </c>
      <c r="K263" s="3">
        <v>1927.59</v>
      </c>
    </row>
    <row r="264" spans="1:11" x14ac:dyDescent="0.35">
      <c r="A264"/>
      <c r="E264" s="2">
        <v>43399</v>
      </c>
      <c r="F264" s="3" t="s">
        <v>382</v>
      </c>
      <c r="G264" s="3" t="s">
        <v>10</v>
      </c>
      <c r="H264" s="3" t="s">
        <v>11</v>
      </c>
      <c r="I264" s="3" t="s">
        <v>38</v>
      </c>
      <c r="J264" s="3" t="s">
        <v>39</v>
      </c>
      <c r="K264" s="3">
        <v>43.92</v>
      </c>
    </row>
    <row r="265" spans="1:11" x14ac:dyDescent="0.35">
      <c r="A265"/>
      <c r="E265" s="2">
        <v>43401</v>
      </c>
      <c r="F265" s="3" t="s">
        <v>383</v>
      </c>
      <c r="G265" s="3" t="s">
        <v>10</v>
      </c>
      <c r="H265" s="3" t="s">
        <v>49</v>
      </c>
      <c r="I265" s="3" t="s">
        <v>117</v>
      </c>
      <c r="J265" s="3" t="s">
        <v>384</v>
      </c>
      <c r="K265" s="3">
        <v>11.67</v>
      </c>
    </row>
    <row r="266" spans="1:11" x14ac:dyDescent="0.35">
      <c r="A266"/>
      <c r="E266" s="2">
        <v>43406</v>
      </c>
      <c r="F266" s="3" t="s">
        <v>385</v>
      </c>
      <c r="G266" s="3" t="s">
        <v>15</v>
      </c>
      <c r="H266" s="3" t="s">
        <v>11</v>
      </c>
      <c r="I266" s="3" t="s">
        <v>38</v>
      </c>
      <c r="J266" s="3" t="s">
        <v>45</v>
      </c>
      <c r="K266" s="3">
        <v>1101.48</v>
      </c>
    </row>
    <row r="267" spans="1:11" x14ac:dyDescent="0.35">
      <c r="A267"/>
      <c r="E267" s="2">
        <v>43406</v>
      </c>
      <c r="F267" s="3" t="s">
        <v>14</v>
      </c>
      <c r="G267" s="3" t="s">
        <v>15</v>
      </c>
      <c r="H267" s="3" t="s">
        <v>11</v>
      </c>
      <c r="I267" s="3" t="s">
        <v>38</v>
      </c>
      <c r="J267" s="3" t="s">
        <v>45</v>
      </c>
      <c r="K267" s="3">
        <v>43.32</v>
      </c>
    </row>
    <row r="268" spans="1:11" x14ac:dyDescent="0.35">
      <c r="A268"/>
      <c r="E268" s="2">
        <v>43413</v>
      </c>
      <c r="F268" s="3" t="s">
        <v>386</v>
      </c>
      <c r="G268" s="3" t="s">
        <v>44</v>
      </c>
      <c r="H268" s="3" t="s">
        <v>49</v>
      </c>
      <c r="I268" s="3" t="s">
        <v>50</v>
      </c>
      <c r="J268" s="3" t="s">
        <v>13</v>
      </c>
      <c r="K268" s="3">
        <v>334.88</v>
      </c>
    </row>
    <row r="269" spans="1:11" x14ac:dyDescent="0.35">
      <c r="A269"/>
      <c r="E269" s="2">
        <v>43413</v>
      </c>
      <c r="F269" s="3" t="s">
        <v>387</v>
      </c>
      <c r="G269" s="3" t="s">
        <v>15</v>
      </c>
      <c r="H269" s="3" t="s">
        <v>11</v>
      </c>
      <c r="I269" s="3" t="s">
        <v>38</v>
      </c>
      <c r="J269" s="3" t="s">
        <v>45</v>
      </c>
      <c r="K269" s="3">
        <v>129.91999999999999</v>
      </c>
    </row>
    <row r="270" spans="1:11" x14ac:dyDescent="0.35">
      <c r="A270"/>
      <c r="E270" s="2">
        <v>43414</v>
      </c>
      <c r="F270" s="3" t="s">
        <v>388</v>
      </c>
      <c r="G270" s="3" t="s">
        <v>44</v>
      </c>
      <c r="H270" s="3" t="s">
        <v>28</v>
      </c>
      <c r="I270" s="3" t="s">
        <v>107</v>
      </c>
      <c r="J270" s="3" t="s">
        <v>389</v>
      </c>
      <c r="K270" s="3">
        <v>671.54399999999998</v>
      </c>
    </row>
    <row r="271" spans="1:11" x14ac:dyDescent="0.35">
      <c r="A271"/>
      <c r="E271" s="2">
        <v>43415</v>
      </c>
      <c r="F271" s="3" t="s">
        <v>390</v>
      </c>
      <c r="G271" s="3" t="s">
        <v>10</v>
      </c>
      <c r="H271" s="3" t="s">
        <v>16</v>
      </c>
      <c r="I271" s="3" t="s">
        <v>172</v>
      </c>
      <c r="J271" s="3" t="s">
        <v>391</v>
      </c>
      <c r="K271" s="3">
        <v>37.68</v>
      </c>
    </row>
    <row r="272" spans="1:11" x14ac:dyDescent="0.35">
      <c r="A272"/>
      <c r="E272" s="2">
        <v>43415</v>
      </c>
      <c r="F272" s="3" t="s">
        <v>392</v>
      </c>
      <c r="G272" s="3" t="s">
        <v>15</v>
      </c>
      <c r="H272" s="3" t="s">
        <v>49</v>
      </c>
      <c r="I272" s="3" t="s">
        <v>50</v>
      </c>
      <c r="J272" s="3" t="s">
        <v>393</v>
      </c>
      <c r="K272" s="3">
        <v>110.096</v>
      </c>
    </row>
    <row r="273" spans="1:11" x14ac:dyDescent="0.35">
      <c r="A273"/>
      <c r="E273" s="2">
        <v>43421</v>
      </c>
      <c r="F273" s="3" t="s">
        <v>394</v>
      </c>
      <c r="G273" s="3" t="s">
        <v>10</v>
      </c>
      <c r="H273" s="3" t="s">
        <v>49</v>
      </c>
      <c r="I273" s="3" t="s">
        <v>50</v>
      </c>
      <c r="J273" s="3" t="s">
        <v>182</v>
      </c>
      <c r="K273" s="3">
        <v>103.968</v>
      </c>
    </row>
    <row r="274" spans="1:11" x14ac:dyDescent="0.35">
      <c r="A274"/>
      <c r="E274" s="2">
        <v>43421</v>
      </c>
      <c r="F274" s="3" t="s">
        <v>395</v>
      </c>
      <c r="G274" s="3" t="s">
        <v>44</v>
      </c>
      <c r="H274" s="3" t="s">
        <v>11</v>
      </c>
      <c r="I274" s="3" t="s">
        <v>38</v>
      </c>
      <c r="J274" s="3" t="s">
        <v>45</v>
      </c>
      <c r="K274" s="3">
        <v>67.84</v>
      </c>
    </row>
    <row r="275" spans="1:11" x14ac:dyDescent="0.35">
      <c r="A275"/>
      <c r="E275" s="2">
        <v>43422</v>
      </c>
      <c r="F275" s="3" t="s">
        <v>379</v>
      </c>
      <c r="G275" s="3" t="s">
        <v>10</v>
      </c>
      <c r="H275" s="3" t="s">
        <v>16</v>
      </c>
      <c r="I275" s="3" t="s">
        <v>172</v>
      </c>
      <c r="J275" s="3" t="s">
        <v>396</v>
      </c>
      <c r="K275" s="3">
        <v>54.96</v>
      </c>
    </row>
    <row r="276" spans="1:11" x14ac:dyDescent="0.35">
      <c r="A276"/>
      <c r="E276" s="2">
        <v>43422</v>
      </c>
      <c r="F276" s="3" t="s">
        <v>397</v>
      </c>
      <c r="G276" s="3" t="s">
        <v>15</v>
      </c>
      <c r="H276" s="3" t="s">
        <v>49</v>
      </c>
      <c r="I276" s="3" t="s">
        <v>54</v>
      </c>
      <c r="J276" s="3" t="s">
        <v>115</v>
      </c>
      <c r="K276" s="3">
        <v>8.74</v>
      </c>
    </row>
    <row r="277" spans="1:11" x14ac:dyDescent="0.35">
      <c r="A277"/>
      <c r="E277" s="2">
        <v>43423</v>
      </c>
      <c r="F277" s="3" t="s">
        <v>398</v>
      </c>
      <c r="G277" s="3" t="s">
        <v>10</v>
      </c>
      <c r="H277" s="3" t="s">
        <v>11</v>
      </c>
      <c r="I277" s="3" t="s">
        <v>38</v>
      </c>
      <c r="J277" s="3" t="s">
        <v>45</v>
      </c>
      <c r="K277" s="3">
        <v>39</v>
      </c>
    </row>
    <row r="278" spans="1:11" x14ac:dyDescent="0.35">
      <c r="A278"/>
      <c r="E278" s="2">
        <v>43427</v>
      </c>
      <c r="F278" s="3" t="s">
        <v>399</v>
      </c>
      <c r="G278" s="3" t="s">
        <v>44</v>
      </c>
      <c r="H278" s="3" t="s">
        <v>28</v>
      </c>
      <c r="I278" s="3" t="s">
        <v>107</v>
      </c>
      <c r="J278" s="3" t="s">
        <v>400</v>
      </c>
      <c r="K278" s="3">
        <v>42.384</v>
      </c>
    </row>
    <row r="279" spans="1:11" x14ac:dyDescent="0.35">
      <c r="A279"/>
      <c r="E279" s="2">
        <v>43429</v>
      </c>
      <c r="F279" s="3" t="s">
        <v>150</v>
      </c>
      <c r="G279" s="3" t="s">
        <v>15</v>
      </c>
      <c r="H279" s="3" t="s">
        <v>11</v>
      </c>
      <c r="I279" s="3" t="s">
        <v>38</v>
      </c>
      <c r="J279" s="3" t="s">
        <v>45</v>
      </c>
      <c r="K279" s="3">
        <v>64.959999999999994</v>
      </c>
    </row>
    <row r="280" spans="1:11" x14ac:dyDescent="0.35">
      <c r="A280"/>
      <c r="E280" s="2">
        <v>43430</v>
      </c>
      <c r="F280" s="3" t="s">
        <v>401</v>
      </c>
      <c r="G280" s="3" t="s">
        <v>10</v>
      </c>
      <c r="H280" s="3" t="s">
        <v>16</v>
      </c>
      <c r="I280" s="3" t="s">
        <v>17</v>
      </c>
      <c r="J280" s="3" t="s">
        <v>402</v>
      </c>
      <c r="K280" s="3">
        <v>167.292</v>
      </c>
    </row>
    <row r="281" spans="1:11" x14ac:dyDescent="0.35">
      <c r="A281"/>
      <c r="E281" s="2">
        <v>43434</v>
      </c>
      <c r="F281" s="3" t="s">
        <v>289</v>
      </c>
      <c r="G281" s="3" t="s">
        <v>15</v>
      </c>
      <c r="H281" s="3" t="s">
        <v>16</v>
      </c>
      <c r="I281" s="3" t="s">
        <v>23</v>
      </c>
      <c r="J281" s="3" t="s">
        <v>403</v>
      </c>
      <c r="K281" s="3">
        <v>11.648</v>
      </c>
    </row>
    <row r="282" spans="1:11" x14ac:dyDescent="0.35">
      <c r="A282"/>
      <c r="E282" s="2">
        <v>43434</v>
      </c>
      <c r="F282" s="3" t="s">
        <v>404</v>
      </c>
      <c r="G282" s="3" t="s">
        <v>15</v>
      </c>
      <c r="H282" s="3" t="s">
        <v>49</v>
      </c>
      <c r="I282" s="3" t="s">
        <v>60</v>
      </c>
      <c r="J282" s="3" t="s">
        <v>405</v>
      </c>
      <c r="K282" s="3">
        <v>901.95</v>
      </c>
    </row>
    <row r="283" spans="1:11" x14ac:dyDescent="0.35">
      <c r="A283"/>
      <c r="E283" s="2">
        <v>43434</v>
      </c>
      <c r="F283" s="3" t="s">
        <v>406</v>
      </c>
      <c r="G283" s="3" t="s">
        <v>10</v>
      </c>
      <c r="H283" s="3" t="s">
        <v>28</v>
      </c>
      <c r="I283" s="3" t="s">
        <v>253</v>
      </c>
      <c r="J283" s="3" t="s">
        <v>30</v>
      </c>
      <c r="K283" s="3">
        <v>2104.5500000000002</v>
      </c>
    </row>
    <row r="284" spans="1:11" x14ac:dyDescent="0.35">
      <c r="A284"/>
      <c r="E284" s="2">
        <v>43435</v>
      </c>
      <c r="F284" s="3" t="s">
        <v>372</v>
      </c>
      <c r="G284" s="3" t="s">
        <v>10</v>
      </c>
      <c r="H284" s="3" t="s">
        <v>11</v>
      </c>
      <c r="I284" s="3" t="s">
        <v>38</v>
      </c>
      <c r="J284" s="3" t="s">
        <v>373</v>
      </c>
      <c r="K284" s="3">
        <v>59.7</v>
      </c>
    </row>
    <row r="285" spans="1:11" x14ac:dyDescent="0.35">
      <c r="A285"/>
      <c r="E285" s="2">
        <v>43436</v>
      </c>
      <c r="F285" s="3" t="s">
        <v>407</v>
      </c>
      <c r="G285" s="3" t="s">
        <v>15</v>
      </c>
      <c r="H285" s="3" t="s">
        <v>49</v>
      </c>
      <c r="I285" s="3" t="s">
        <v>77</v>
      </c>
      <c r="J285" s="3" t="s">
        <v>78</v>
      </c>
      <c r="K285" s="3">
        <v>394.81599999999997</v>
      </c>
    </row>
    <row r="286" spans="1:11" x14ac:dyDescent="0.35">
      <c r="A286"/>
      <c r="E286" s="2">
        <v>43442</v>
      </c>
      <c r="F286" s="3" t="s">
        <v>408</v>
      </c>
      <c r="G286" s="3" t="s">
        <v>10</v>
      </c>
      <c r="H286" s="3" t="s">
        <v>16</v>
      </c>
      <c r="I286" s="3" t="s">
        <v>129</v>
      </c>
      <c r="J286" s="3" t="s">
        <v>409</v>
      </c>
      <c r="K286" s="3">
        <v>60.34</v>
      </c>
    </row>
    <row r="287" spans="1:11" x14ac:dyDescent="0.35">
      <c r="A287"/>
      <c r="E287" s="2">
        <v>43442</v>
      </c>
      <c r="F287" s="3" t="s">
        <v>410</v>
      </c>
      <c r="G287" s="3" t="s">
        <v>15</v>
      </c>
      <c r="H287" s="3" t="s">
        <v>16</v>
      </c>
      <c r="I287" s="3" t="s">
        <v>17</v>
      </c>
      <c r="J287" s="3" t="s">
        <v>36</v>
      </c>
      <c r="K287" s="3">
        <v>61.929000000000002</v>
      </c>
    </row>
    <row r="288" spans="1:11" x14ac:dyDescent="0.35">
      <c r="A288"/>
      <c r="E288" s="2">
        <v>43442</v>
      </c>
      <c r="F288" s="3" t="s">
        <v>351</v>
      </c>
      <c r="G288" s="3" t="s">
        <v>10</v>
      </c>
      <c r="H288" s="3" t="s">
        <v>16</v>
      </c>
      <c r="I288" s="3" t="s">
        <v>65</v>
      </c>
      <c r="J288" s="3" t="s">
        <v>66</v>
      </c>
      <c r="K288" s="3">
        <v>4.3559999999999999</v>
      </c>
    </row>
    <row r="289" spans="1:11" x14ac:dyDescent="0.35">
      <c r="A289"/>
      <c r="E289" s="2">
        <v>43443</v>
      </c>
      <c r="F289" s="3" t="s">
        <v>411</v>
      </c>
      <c r="G289" s="3" t="s">
        <v>15</v>
      </c>
      <c r="H289" s="3" t="s">
        <v>11</v>
      </c>
      <c r="I289" s="3" t="s">
        <v>20</v>
      </c>
      <c r="J289" s="3" t="s">
        <v>21</v>
      </c>
      <c r="K289" s="3">
        <v>65.34</v>
      </c>
    </row>
    <row r="290" spans="1:11" x14ac:dyDescent="0.35">
      <c r="A290"/>
      <c r="E290" s="2">
        <v>43443</v>
      </c>
      <c r="F290" s="3" t="s">
        <v>411</v>
      </c>
      <c r="G290" s="3" t="s">
        <v>15</v>
      </c>
      <c r="H290" s="3" t="s">
        <v>11</v>
      </c>
      <c r="I290" s="3" t="s">
        <v>20</v>
      </c>
      <c r="J290" s="3" t="s">
        <v>21</v>
      </c>
      <c r="K290" s="3">
        <v>35.1</v>
      </c>
    </row>
    <row r="291" spans="1:11" x14ac:dyDescent="0.35">
      <c r="A291"/>
      <c r="E291" s="2">
        <v>43444</v>
      </c>
      <c r="F291" s="3" t="s">
        <v>229</v>
      </c>
      <c r="G291" s="3" t="s">
        <v>10</v>
      </c>
      <c r="H291" s="3" t="s">
        <v>49</v>
      </c>
      <c r="I291" s="3" t="s">
        <v>50</v>
      </c>
      <c r="J291" s="3" t="s">
        <v>51</v>
      </c>
      <c r="K291" s="3">
        <v>387.13600000000002</v>
      </c>
    </row>
    <row r="292" spans="1:11" x14ac:dyDescent="0.35">
      <c r="A292"/>
      <c r="E292" s="2">
        <v>43444</v>
      </c>
      <c r="F292" s="3" t="s">
        <v>169</v>
      </c>
      <c r="G292" s="3" t="s">
        <v>15</v>
      </c>
      <c r="H292" s="3" t="s">
        <v>11</v>
      </c>
      <c r="I292" s="3" t="s">
        <v>38</v>
      </c>
      <c r="J292" s="3" t="s">
        <v>412</v>
      </c>
      <c r="K292" s="3">
        <v>83.42</v>
      </c>
    </row>
    <row r="293" spans="1:11" x14ac:dyDescent="0.35">
      <c r="A293"/>
      <c r="E293" s="2">
        <v>43444</v>
      </c>
      <c r="F293" s="3" t="s">
        <v>413</v>
      </c>
      <c r="G293" s="3" t="s">
        <v>10</v>
      </c>
      <c r="H293" s="3" t="s">
        <v>49</v>
      </c>
      <c r="I293" s="3" t="s">
        <v>50</v>
      </c>
      <c r="J293" s="3" t="s">
        <v>13</v>
      </c>
      <c r="K293" s="3">
        <v>73.536000000000001</v>
      </c>
    </row>
    <row r="294" spans="1:11" x14ac:dyDescent="0.35">
      <c r="A294"/>
      <c r="E294" s="2">
        <v>43445</v>
      </c>
      <c r="F294" s="3" t="s">
        <v>315</v>
      </c>
      <c r="G294" s="3" t="s">
        <v>15</v>
      </c>
      <c r="H294" s="3" t="s">
        <v>11</v>
      </c>
      <c r="I294" s="3" t="s">
        <v>38</v>
      </c>
      <c r="J294" s="3" t="s">
        <v>339</v>
      </c>
      <c r="K294" s="3">
        <v>56.52</v>
      </c>
    </row>
    <row r="295" spans="1:11" x14ac:dyDescent="0.35">
      <c r="A295"/>
      <c r="E295" s="2">
        <v>43448</v>
      </c>
      <c r="F295" s="3" t="s">
        <v>414</v>
      </c>
      <c r="G295" s="3" t="s">
        <v>44</v>
      </c>
      <c r="H295" s="3" t="s">
        <v>11</v>
      </c>
      <c r="I295" s="3" t="s">
        <v>12</v>
      </c>
      <c r="J295" s="3" t="s">
        <v>13</v>
      </c>
      <c r="K295" s="3">
        <v>87.168000000000006</v>
      </c>
    </row>
    <row r="296" spans="1:11" x14ac:dyDescent="0.35">
      <c r="A296"/>
      <c r="E296" s="2">
        <v>43449</v>
      </c>
      <c r="F296" s="3" t="s">
        <v>116</v>
      </c>
      <c r="G296" s="3" t="s">
        <v>15</v>
      </c>
      <c r="H296" s="3" t="s">
        <v>28</v>
      </c>
      <c r="I296" s="3" t="s">
        <v>90</v>
      </c>
      <c r="J296" s="3" t="s">
        <v>415</v>
      </c>
      <c r="K296" s="3">
        <v>34.944000000000003</v>
      </c>
    </row>
    <row r="297" spans="1:11" x14ac:dyDescent="0.35">
      <c r="A297"/>
      <c r="E297" s="2">
        <v>43451</v>
      </c>
      <c r="F297" s="3" t="s">
        <v>416</v>
      </c>
      <c r="G297" s="3" t="s">
        <v>10</v>
      </c>
      <c r="H297" s="3" t="s">
        <v>28</v>
      </c>
      <c r="I297" s="3" t="s">
        <v>107</v>
      </c>
      <c r="J297" s="3" t="s">
        <v>417</v>
      </c>
      <c r="K297" s="3">
        <v>194.52799999999999</v>
      </c>
    </row>
    <row r="298" spans="1:11" x14ac:dyDescent="0.35">
      <c r="A298"/>
      <c r="E298" s="2">
        <v>43459</v>
      </c>
      <c r="F298" s="3" t="s">
        <v>418</v>
      </c>
      <c r="G298" s="3" t="s">
        <v>10</v>
      </c>
      <c r="H298" s="3" t="s">
        <v>11</v>
      </c>
      <c r="I298" s="3" t="s">
        <v>81</v>
      </c>
      <c r="J298" s="3" t="s">
        <v>93</v>
      </c>
      <c r="K298" s="3">
        <v>18.72</v>
      </c>
    </row>
    <row r="299" spans="1:11" x14ac:dyDescent="0.35">
      <c r="A299"/>
      <c r="E299" s="2">
        <v>43459</v>
      </c>
      <c r="F299" s="3" t="s">
        <v>419</v>
      </c>
      <c r="G299" s="3" t="s">
        <v>10</v>
      </c>
      <c r="H299" s="3" t="s">
        <v>11</v>
      </c>
      <c r="I299" s="3" t="s">
        <v>38</v>
      </c>
      <c r="J299" s="3" t="s">
        <v>45</v>
      </c>
      <c r="K299" s="3">
        <v>7.9</v>
      </c>
    </row>
    <row r="300" spans="1:11" x14ac:dyDescent="0.35">
      <c r="A300"/>
      <c r="E300" s="2">
        <v>43459</v>
      </c>
      <c r="F300" s="3" t="s">
        <v>275</v>
      </c>
      <c r="G300" s="3" t="s">
        <v>10</v>
      </c>
      <c r="H300" s="3" t="s">
        <v>49</v>
      </c>
      <c r="I300" s="3" t="s">
        <v>117</v>
      </c>
      <c r="J300" s="3" t="s">
        <v>420</v>
      </c>
      <c r="K300" s="3">
        <v>26.49</v>
      </c>
    </row>
    <row r="301" spans="1:11" x14ac:dyDescent="0.35">
      <c r="A301"/>
      <c r="E301" s="2">
        <v>43462</v>
      </c>
      <c r="F301" s="3" t="s">
        <v>421</v>
      </c>
      <c r="G301" s="3" t="s">
        <v>15</v>
      </c>
      <c r="H301" s="3" t="s">
        <v>16</v>
      </c>
      <c r="I301" s="3" t="s">
        <v>422</v>
      </c>
      <c r="J301" s="3" t="s">
        <v>423</v>
      </c>
      <c r="K301" s="3">
        <v>81.96</v>
      </c>
    </row>
    <row r="302" spans="1:11" x14ac:dyDescent="0.35">
      <c r="A302"/>
      <c r="E302" s="2">
        <v>43465</v>
      </c>
      <c r="F302" s="3" t="s">
        <v>424</v>
      </c>
      <c r="G302" s="3" t="s">
        <v>15</v>
      </c>
      <c r="H302" s="3" t="s">
        <v>16</v>
      </c>
      <c r="I302" s="3" t="s">
        <v>23</v>
      </c>
      <c r="J302" s="3" t="s">
        <v>425</v>
      </c>
      <c r="K302" s="3">
        <v>15.224</v>
      </c>
    </row>
    <row r="303" spans="1:11" x14ac:dyDescent="0.35">
      <c r="A303"/>
      <c r="E303" s="2">
        <v>43466</v>
      </c>
      <c r="F303" s="3" t="s">
        <v>210</v>
      </c>
      <c r="G303" s="3" t="s">
        <v>15</v>
      </c>
      <c r="H303" s="3" t="s">
        <v>16</v>
      </c>
      <c r="I303" s="3" t="s">
        <v>23</v>
      </c>
      <c r="J303" s="3" t="s">
        <v>426</v>
      </c>
      <c r="K303" s="3">
        <v>5.4320000000000004</v>
      </c>
    </row>
    <row r="304" spans="1:11" x14ac:dyDescent="0.35">
      <c r="A304"/>
      <c r="E304" s="2">
        <v>43479</v>
      </c>
      <c r="F304" s="3" t="s">
        <v>427</v>
      </c>
      <c r="G304" s="3" t="s">
        <v>15</v>
      </c>
      <c r="H304" s="3" t="s">
        <v>49</v>
      </c>
      <c r="I304" s="3" t="s">
        <v>77</v>
      </c>
      <c r="J304" s="3" t="s">
        <v>78</v>
      </c>
      <c r="K304" s="3">
        <v>34.384</v>
      </c>
    </row>
    <row r="305" spans="1:11" x14ac:dyDescent="0.35">
      <c r="A305"/>
      <c r="E305" s="2">
        <v>43479</v>
      </c>
      <c r="F305" s="3" t="s">
        <v>427</v>
      </c>
      <c r="G305" s="3" t="s">
        <v>15</v>
      </c>
      <c r="H305" s="3" t="s">
        <v>49</v>
      </c>
      <c r="I305" s="3" t="s">
        <v>77</v>
      </c>
      <c r="J305" s="3" t="s">
        <v>78</v>
      </c>
      <c r="K305" s="3">
        <v>1924.16</v>
      </c>
    </row>
    <row r="306" spans="1:11" x14ac:dyDescent="0.35">
      <c r="A306"/>
      <c r="E306" s="2">
        <v>43483</v>
      </c>
      <c r="F306" s="3" t="s">
        <v>428</v>
      </c>
      <c r="G306" s="3" t="s">
        <v>15</v>
      </c>
      <c r="H306" s="3" t="s">
        <v>49</v>
      </c>
      <c r="I306" s="3" t="s">
        <v>429</v>
      </c>
      <c r="J306" s="3" t="s">
        <v>430</v>
      </c>
      <c r="K306" s="3">
        <v>542.94000000000005</v>
      </c>
    </row>
    <row r="307" spans="1:11" x14ac:dyDescent="0.35">
      <c r="A307"/>
      <c r="E307" s="2">
        <v>43488</v>
      </c>
      <c r="F307" s="3" t="s">
        <v>372</v>
      </c>
      <c r="G307" s="3" t="s">
        <v>10</v>
      </c>
      <c r="H307" s="3" t="s">
        <v>11</v>
      </c>
      <c r="I307" s="3" t="s">
        <v>38</v>
      </c>
      <c r="J307" s="3" t="s">
        <v>373</v>
      </c>
      <c r="K307" s="3">
        <v>25.86</v>
      </c>
    </row>
    <row r="308" spans="1:11" x14ac:dyDescent="0.35">
      <c r="A308"/>
      <c r="E308" s="2">
        <v>43497</v>
      </c>
      <c r="F308" s="3" t="s">
        <v>431</v>
      </c>
      <c r="G308" s="3" t="s">
        <v>15</v>
      </c>
      <c r="H308" s="3" t="s">
        <v>11</v>
      </c>
      <c r="I308" s="3" t="s">
        <v>38</v>
      </c>
      <c r="J308" s="3" t="s">
        <v>45</v>
      </c>
      <c r="K308" s="3">
        <v>46.8</v>
      </c>
    </row>
    <row r="309" spans="1:11" x14ac:dyDescent="0.35">
      <c r="A309"/>
      <c r="E309" s="2">
        <v>43499</v>
      </c>
      <c r="F309" s="3" t="s">
        <v>432</v>
      </c>
      <c r="G309" s="3" t="s">
        <v>15</v>
      </c>
      <c r="H309" s="3" t="s">
        <v>49</v>
      </c>
      <c r="I309" s="3" t="s">
        <v>54</v>
      </c>
      <c r="J309" s="3" t="s">
        <v>433</v>
      </c>
      <c r="K309" s="3">
        <v>32.67</v>
      </c>
    </row>
    <row r="310" spans="1:11" x14ac:dyDescent="0.35">
      <c r="A310"/>
      <c r="E310" s="2">
        <v>43500</v>
      </c>
      <c r="F310" s="3" t="s">
        <v>434</v>
      </c>
      <c r="G310" s="3" t="s">
        <v>10</v>
      </c>
      <c r="H310" s="3" t="s">
        <v>11</v>
      </c>
      <c r="I310" s="3" t="s">
        <v>38</v>
      </c>
      <c r="J310" s="3" t="s">
        <v>435</v>
      </c>
      <c r="K310" s="3">
        <v>1640.7</v>
      </c>
    </row>
    <row r="311" spans="1:11" x14ac:dyDescent="0.35">
      <c r="A311"/>
      <c r="E311" s="2">
        <v>43504</v>
      </c>
      <c r="F311" s="3" t="s">
        <v>436</v>
      </c>
      <c r="G311" s="3" t="s">
        <v>15</v>
      </c>
      <c r="H311" s="3" t="s">
        <v>16</v>
      </c>
      <c r="I311" s="3" t="s">
        <v>23</v>
      </c>
      <c r="J311" s="3" t="s">
        <v>26</v>
      </c>
      <c r="K311" s="3">
        <v>12.992000000000001</v>
      </c>
    </row>
    <row r="312" spans="1:11" x14ac:dyDescent="0.35">
      <c r="A312"/>
      <c r="E312" s="2">
        <v>43508</v>
      </c>
      <c r="F312" s="3" t="s">
        <v>437</v>
      </c>
      <c r="G312" s="3" t="s">
        <v>15</v>
      </c>
      <c r="H312" s="3" t="s">
        <v>16</v>
      </c>
      <c r="I312" s="3" t="s">
        <v>32</v>
      </c>
      <c r="J312" s="3" t="s">
        <v>438</v>
      </c>
      <c r="K312" s="3">
        <v>90.64</v>
      </c>
    </row>
    <row r="313" spans="1:11" x14ac:dyDescent="0.35">
      <c r="A313"/>
      <c r="E313" s="2">
        <v>43514</v>
      </c>
      <c r="F313" s="3" t="s">
        <v>439</v>
      </c>
      <c r="G313" s="3" t="s">
        <v>10</v>
      </c>
      <c r="H313" s="3" t="s">
        <v>28</v>
      </c>
      <c r="I313" s="3" t="s">
        <v>41</v>
      </c>
      <c r="J313" s="3" t="s">
        <v>440</v>
      </c>
      <c r="K313" s="3">
        <v>1245.8599999999999</v>
      </c>
    </row>
    <row r="314" spans="1:11" x14ac:dyDescent="0.35">
      <c r="A314"/>
      <c r="E314" s="2">
        <v>43515</v>
      </c>
      <c r="F314" s="3" t="s">
        <v>441</v>
      </c>
      <c r="G314" s="3" t="s">
        <v>44</v>
      </c>
      <c r="H314" s="3" t="s">
        <v>16</v>
      </c>
      <c r="I314" s="3" t="s">
        <v>74</v>
      </c>
      <c r="J314" s="3" t="s">
        <v>442</v>
      </c>
      <c r="K314" s="3">
        <v>13.11</v>
      </c>
    </row>
    <row r="315" spans="1:11" x14ac:dyDescent="0.35">
      <c r="A315"/>
      <c r="E315" s="2">
        <v>43521</v>
      </c>
      <c r="F315" s="3" t="s">
        <v>443</v>
      </c>
      <c r="G315" s="3" t="s">
        <v>44</v>
      </c>
      <c r="H315" s="3" t="s">
        <v>11</v>
      </c>
      <c r="I315" s="3" t="s">
        <v>38</v>
      </c>
      <c r="J315" s="3" t="s">
        <v>45</v>
      </c>
      <c r="K315" s="3">
        <v>81.92</v>
      </c>
    </row>
    <row r="316" spans="1:11" x14ac:dyDescent="0.35">
      <c r="A316"/>
      <c r="E316" s="2">
        <v>43521</v>
      </c>
      <c r="F316" s="3" t="s">
        <v>112</v>
      </c>
      <c r="G316" s="3" t="s">
        <v>15</v>
      </c>
      <c r="H316" s="3" t="s">
        <v>11</v>
      </c>
      <c r="I316" s="3" t="s">
        <v>38</v>
      </c>
      <c r="J316" s="3" t="s">
        <v>444</v>
      </c>
      <c r="K316" s="3">
        <v>356.79</v>
      </c>
    </row>
    <row r="317" spans="1:11" x14ac:dyDescent="0.35">
      <c r="A317"/>
      <c r="E317" s="2">
        <v>43526</v>
      </c>
      <c r="F317" s="3" t="s">
        <v>445</v>
      </c>
      <c r="G317" s="3" t="s">
        <v>15</v>
      </c>
      <c r="H317" s="3" t="s">
        <v>28</v>
      </c>
      <c r="I317" s="3" t="s">
        <v>29</v>
      </c>
      <c r="J317" s="3" t="s">
        <v>446</v>
      </c>
      <c r="K317" s="3">
        <v>72.8</v>
      </c>
    </row>
    <row r="318" spans="1:11" x14ac:dyDescent="0.35">
      <c r="A318"/>
      <c r="E318" s="2">
        <v>43528</v>
      </c>
      <c r="F318" s="3" t="s">
        <v>447</v>
      </c>
      <c r="G318" s="3" t="s">
        <v>10</v>
      </c>
      <c r="H318" s="3" t="s">
        <v>28</v>
      </c>
      <c r="I318" s="3" t="s">
        <v>35</v>
      </c>
      <c r="J318" s="3" t="s">
        <v>448</v>
      </c>
      <c r="K318" s="3">
        <v>262.24</v>
      </c>
    </row>
    <row r="319" spans="1:11" x14ac:dyDescent="0.35">
      <c r="A319"/>
      <c r="E319" s="2">
        <v>43531</v>
      </c>
      <c r="F319" s="3" t="s">
        <v>401</v>
      </c>
      <c r="G319" s="3" t="s">
        <v>10</v>
      </c>
      <c r="H319" s="3" t="s">
        <v>28</v>
      </c>
      <c r="I319" s="3" t="s">
        <v>41</v>
      </c>
      <c r="J319" s="3" t="s">
        <v>51</v>
      </c>
      <c r="K319" s="3">
        <v>647.84</v>
      </c>
    </row>
    <row r="320" spans="1:11" x14ac:dyDescent="0.35">
      <c r="A320"/>
      <c r="E320" s="2">
        <v>43533</v>
      </c>
      <c r="F320" s="3" t="s">
        <v>449</v>
      </c>
      <c r="G320" s="3" t="s">
        <v>10</v>
      </c>
      <c r="H320" s="3" t="s">
        <v>28</v>
      </c>
      <c r="I320" s="3" t="s">
        <v>90</v>
      </c>
      <c r="J320" s="3" t="s">
        <v>450</v>
      </c>
      <c r="K320" s="3">
        <v>48.783999999999999</v>
      </c>
    </row>
    <row r="321" spans="1:11" x14ac:dyDescent="0.35">
      <c r="A321"/>
      <c r="E321" s="2">
        <v>43536</v>
      </c>
      <c r="F321" s="3" t="s">
        <v>451</v>
      </c>
      <c r="G321" s="3" t="s">
        <v>15</v>
      </c>
      <c r="H321" s="3" t="s">
        <v>49</v>
      </c>
      <c r="I321" s="3" t="s">
        <v>100</v>
      </c>
      <c r="J321" s="3" t="s">
        <v>139</v>
      </c>
      <c r="K321" s="3">
        <v>465.16</v>
      </c>
    </row>
    <row r="322" spans="1:11" x14ac:dyDescent="0.35">
      <c r="A322"/>
      <c r="E322" s="2">
        <v>43539</v>
      </c>
      <c r="F322" s="3" t="s">
        <v>452</v>
      </c>
      <c r="G322" s="3" t="s">
        <v>10</v>
      </c>
      <c r="H322" s="3" t="s">
        <v>11</v>
      </c>
      <c r="I322" s="3" t="s">
        <v>38</v>
      </c>
      <c r="J322" s="3" t="s">
        <v>45</v>
      </c>
      <c r="K322" s="3">
        <v>140.66999999999999</v>
      </c>
    </row>
    <row r="323" spans="1:11" x14ac:dyDescent="0.35">
      <c r="A323"/>
      <c r="E323" s="2">
        <v>43541</v>
      </c>
      <c r="F323" s="3" t="s">
        <v>453</v>
      </c>
      <c r="G323" s="3" t="s">
        <v>15</v>
      </c>
      <c r="H323" s="3" t="s">
        <v>16</v>
      </c>
      <c r="I323" s="3" t="s">
        <v>23</v>
      </c>
      <c r="J323" s="3" t="s">
        <v>454</v>
      </c>
      <c r="K323" s="3">
        <v>2.6880000000000002</v>
      </c>
    </row>
    <row r="324" spans="1:11" x14ac:dyDescent="0.35">
      <c r="A324"/>
      <c r="E324" s="2">
        <v>43541</v>
      </c>
      <c r="F324" s="3" t="s">
        <v>455</v>
      </c>
      <c r="G324" s="3" t="s">
        <v>10</v>
      </c>
      <c r="H324" s="3" t="s">
        <v>11</v>
      </c>
      <c r="I324" s="3" t="s">
        <v>38</v>
      </c>
      <c r="J324" s="3" t="s">
        <v>45</v>
      </c>
      <c r="K324" s="3">
        <v>90.86</v>
      </c>
    </row>
    <row r="325" spans="1:11" x14ac:dyDescent="0.35">
      <c r="A325"/>
      <c r="E325" s="2">
        <v>43542</v>
      </c>
      <c r="F325" s="3" t="s">
        <v>456</v>
      </c>
      <c r="G325" s="3" t="s">
        <v>10</v>
      </c>
      <c r="H325" s="3" t="s">
        <v>11</v>
      </c>
      <c r="I325" s="3" t="s">
        <v>38</v>
      </c>
      <c r="J325" s="3" t="s">
        <v>45</v>
      </c>
      <c r="K325" s="3">
        <v>381.36</v>
      </c>
    </row>
    <row r="326" spans="1:11" x14ac:dyDescent="0.35">
      <c r="A326"/>
      <c r="E326" s="2">
        <v>43544</v>
      </c>
      <c r="F326" s="3" t="s">
        <v>457</v>
      </c>
      <c r="G326" s="3" t="s">
        <v>10</v>
      </c>
      <c r="H326" s="3" t="s">
        <v>28</v>
      </c>
      <c r="I326" s="3" t="s">
        <v>107</v>
      </c>
      <c r="J326" s="3" t="s">
        <v>458</v>
      </c>
      <c r="K326" s="3">
        <v>64.384</v>
      </c>
    </row>
    <row r="327" spans="1:11" x14ac:dyDescent="0.35">
      <c r="A327"/>
      <c r="E327" s="2">
        <v>43548</v>
      </c>
      <c r="F327" s="3" t="s">
        <v>459</v>
      </c>
      <c r="G327" s="3" t="s">
        <v>15</v>
      </c>
      <c r="H327" s="3" t="s">
        <v>11</v>
      </c>
      <c r="I327" s="3" t="s">
        <v>38</v>
      </c>
      <c r="J327" s="3" t="s">
        <v>162</v>
      </c>
      <c r="K327" s="3">
        <v>176.04</v>
      </c>
    </row>
    <row r="328" spans="1:11" x14ac:dyDescent="0.35">
      <c r="A328"/>
      <c r="E328" s="2">
        <v>43549</v>
      </c>
      <c r="F328" s="3" t="s">
        <v>460</v>
      </c>
      <c r="G328" s="3" t="s">
        <v>10</v>
      </c>
      <c r="H328" s="3" t="s">
        <v>16</v>
      </c>
      <c r="I328" s="3" t="s">
        <v>23</v>
      </c>
      <c r="J328" s="3" t="s">
        <v>26</v>
      </c>
      <c r="K328" s="3">
        <v>87.168000000000006</v>
      </c>
    </row>
    <row r="329" spans="1:11" x14ac:dyDescent="0.35">
      <c r="A329"/>
      <c r="E329" s="2">
        <v>43554</v>
      </c>
      <c r="F329" s="3" t="s">
        <v>461</v>
      </c>
      <c r="G329" s="3" t="s">
        <v>10</v>
      </c>
      <c r="H329" s="3" t="s">
        <v>16</v>
      </c>
      <c r="I329" s="3" t="s">
        <v>23</v>
      </c>
      <c r="J329" s="3" t="s">
        <v>290</v>
      </c>
      <c r="K329" s="3">
        <v>33.619999999999997</v>
      </c>
    </row>
    <row r="330" spans="1:11" x14ac:dyDescent="0.35">
      <c r="A330"/>
      <c r="E330" s="2">
        <v>43555</v>
      </c>
      <c r="F330" s="3" t="s">
        <v>462</v>
      </c>
      <c r="G330" s="3" t="s">
        <v>10</v>
      </c>
      <c r="H330" s="3" t="s">
        <v>28</v>
      </c>
      <c r="I330" s="3" t="s">
        <v>107</v>
      </c>
      <c r="J330" s="3" t="s">
        <v>190</v>
      </c>
      <c r="K330" s="3">
        <v>20.808</v>
      </c>
    </row>
    <row r="331" spans="1:11" x14ac:dyDescent="0.35">
      <c r="A331"/>
      <c r="E331" s="2">
        <v>43562</v>
      </c>
      <c r="F331" s="3" t="s">
        <v>463</v>
      </c>
      <c r="G331" s="3" t="s">
        <v>44</v>
      </c>
      <c r="H331" s="3" t="s">
        <v>49</v>
      </c>
      <c r="I331" s="3" t="s">
        <v>117</v>
      </c>
      <c r="J331" s="3" t="s">
        <v>464</v>
      </c>
      <c r="K331" s="3">
        <v>41.95</v>
      </c>
    </row>
    <row r="332" spans="1:11" x14ac:dyDescent="0.35">
      <c r="A332"/>
      <c r="E332" s="2">
        <v>43564</v>
      </c>
      <c r="F332" s="3" t="s">
        <v>92</v>
      </c>
      <c r="G332" s="3" t="s">
        <v>15</v>
      </c>
      <c r="H332" s="3" t="s">
        <v>49</v>
      </c>
      <c r="I332" s="3" t="s">
        <v>77</v>
      </c>
      <c r="J332" s="3" t="s">
        <v>78</v>
      </c>
      <c r="K332" s="3">
        <v>195.10400000000001</v>
      </c>
    </row>
    <row r="333" spans="1:11" x14ac:dyDescent="0.35">
      <c r="A333"/>
      <c r="E333" s="2">
        <v>43570</v>
      </c>
      <c r="F333" s="3" t="s">
        <v>465</v>
      </c>
      <c r="G333" s="3" t="s">
        <v>44</v>
      </c>
      <c r="H333" s="3" t="s">
        <v>11</v>
      </c>
      <c r="I333" s="3" t="s">
        <v>38</v>
      </c>
      <c r="J333" s="3" t="s">
        <v>39</v>
      </c>
      <c r="K333" s="3">
        <v>40.74</v>
      </c>
    </row>
    <row r="334" spans="1:11" x14ac:dyDescent="0.35">
      <c r="A334"/>
      <c r="E334" s="2">
        <v>43575</v>
      </c>
      <c r="F334" s="3" t="s">
        <v>466</v>
      </c>
      <c r="G334" s="3" t="s">
        <v>15</v>
      </c>
      <c r="H334" s="3" t="s">
        <v>16</v>
      </c>
      <c r="I334" s="3" t="s">
        <v>23</v>
      </c>
      <c r="J334" s="3" t="s">
        <v>26</v>
      </c>
      <c r="K334" s="3">
        <v>97.263999999999996</v>
      </c>
    </row>
    <row r="335" spans="1:11" x14ac:dyDescent="0.35">
      <c r="A335"/>
      <c r="E335" s="2">
        <v>43577</v>
      </c>
      <c r="F335" s="3" t="s">
        <v>467</v>
      </c>
      <c r="G335" s="3" t="s">
        <v>15</v>
      </c>
      <c r="H335" s="3" t="s">
        <v>49</v>
      </c>
      <c r="I335" s="3" t="s">
        <v>54</v>
      </c>
      <c r="J335" s="3" t="s">
        <v>63</v>
      </c>
      <c r="K335" s="3">
        <v>121.94</v>
      </c>
    </row>
    <row r="336" spans="1:11" x14ac:dyDescent="0.35">
      <c r="A336"/>
      <c r="E336" s="2">
        <v>43578</v>
      </c>
      <c r="F336" s="3" t="s">
        <v>468</v>
      </c>
      <c r="G336" s="3" t="s">
        <v>10</v>
      </c>
      <c r="H336" s="3" t="s">
        <v>49</v>
      </c>
      <c r="I336" s="3" t="s">
        <v>77</v>
      </c>
      <c r="J336" s="3" t="s">
        <v>78</v>
      </c>
      <c r="K336" s="3">
        <v>99.28</v>
      </c>
    </row>
    <row r="337" spans="1:11" x14ac:dyDescent="0.35">
      <c r="A337"/>
      <c r="E337" s="2">
        <v>43582</v>
      </c>
      <c r="F337" s="3" t="s">
        <v>469</v>
      </c>
      <c r="G337" s="3" t="s">
        <v>15</v>
      </c>
      <c r="H337" s="3" t="s">
        <v>28</v>
      </c>
      <c r="I337" s="3" t="s">
        <v>90</v>
      </c>
      <c r="J337" s="3" t="s">
        <v>470</v>
      </c>
      <c r="K337" s="3">
        <v>28.08</v>
      </c>
    </row>
    <row r="338" spans="1:11" x14ac:dyDescent="0.35">
      <c r="A338"/>
      <c r="E338" s="2">
        <v>43590</v>
      </c>
      <c r="F338" s="3" t="s">
        <v>210</v>
      </c>
      <c r="G338" s="3" t="s">
        <v>15</v>
      </c>
      <c r="H338" s="3" t="s">
        <v>11</v>
      </c>
      <c r="I338" s="3" t="s">
        <v>38</v>
      </c>
      <c r="J338" s="3" t="s">
        <v>471</v>
      </c>
      <c r="K338" s="3">
        <v>152.94</v>
      </c>
    </row>
    <row r="339" spans="1:11" x14ac:dyDescent="0.35">
      <c r="A339"/>
      <c r="E339" s="2">
        <v>43591</v>
      </c>
      <c r="F339" s="3" t="s">
        <v>247</v>
      </c>
      <c r="G339" s="3" t="s">
        <v>10</v>
      </c>
      <c r="H339" s="3" t="s">
        <v>16</v>
      </c>
      <c r="I339" s="3" t="s">
        <v>17</v>
      </c>
      <c r="J339" s="3" t="s">
        <v>70</v>
      </c>
      <c r="K339" s="3">
        <v>87.444000000000003</v>
      </c>
    </row>
    <row r="340" spans="1:11" x14ac:dyDescent="0.35">
      <c r="A340"/>
      <c r="E340" s="2">
        <v>43592</v>
      </c>
      <c r="F340" s="3" t="s">
        <v>472</v>
      </c>
      <c r="G340" s="3" t="s">
        <v>15</v>
      </c>
      <c r="H340" s="3" t="s">
        <v>11</v>
      </c>
      <c r="I340" s="3" t="s">
        <v>38</v>
      </c>
      <c r="J340" s="3" t="s">
        <v>39</v>
      </c>
      <c r="K340" s="3">
        <v>81.08</v>
      </c>
    </row>
    <row r="341" spans="1:11" x14ac:dyDescent="0.35">
      <c r="A341"/>
      <c r="E341" s="2">
        <v>43596</v>
      </c>
      <c r="F341" s="3" t="s">
        <v>473</v>
      </c>
      <c r="G341" s="3" t="s">
        <v>10</v>
      </c>
      <c r="H341" s="3" t="s">
        <v>11</v>
      </c>
      <c r="I341" s="3" t="s">
        <v>38</v>
      </c>
      <c r="J341" s="3" t="s">
        <v>39</v>
      </c>
      <c r="K341" s="3">
        <v>7.77</v>
      </c>
    </row>
    <row r="342" spans="1:11" x14ac:dyDescent="0.35">
      <c r="A342"/>
      <c r="E342" s="2">
        <v>43597</v>
      </c>
      <c r="F342" s="3" t="s">
        <v>390</v>
      </c>
      <c r="G342" s="3" t="s">
        <v>10</v>
      </c>
      <c r="H342" s="3" t="s">
        <v>28</v>
      </c>
      <c r="I342" s="3" t="s">
        <v>136</v>
      </c>
      <c r="J342" s="3" t="s">
        <v>405</v>
      </c>
      <c r="K342" s="3">
        <v>20.768000000000001</v>
      </c>
    </row>
    <row r="343" spans="1:11" x14ac:dyDescent="0.35">
      <c r="A343"/>
      <c r="E343" s="2">
        <v>43602</v>
      </c>
      <c r="F343" s="3" t="s">
        <v>474</v>
      </c>
      <c r="G343" s="3" t="s">
        <v>10</v>
      </c>
      <c r="H343" s="3" t="s">
        <v>28</v>
      </c>
      <c r="I343" s="3" t="s">
        <v>41</v>
      </c>
      <c r="J343" s="3" t="s">
        <v>475</v>
      </c>
      <c r="K343" s="3">
        <v>17.239999999999998</v>
      </c>
    </row>
    <row r="344" spans="1:11" x14ac:dyDescent="0.35">
      <c r="A344"/>
      <c r="E344" s="2">
        <v>43602</v>
      </c>
      <c r="F344" s="3" t="s">
        <v>386</v>
      </c>
      <c r="G344" s="3" t="s">
        <v>44</v>
      </c>
      <c r="H344" s="3" t="s">
        <v>16</v>
      </c>
      <c r="I344" s="3" t="s">
        <v>320</v>
      </c>
      <c r="J344" s="3" t="s">
        <v>13</v>
      </c>
      <c r="K344" s="3">
        <v>706.86</v>
      </c>
    </row>
    <row r="345" spans="1:11" x14ac:dyDescent="0.35">
      <c r="A345"/>
      <c r="E345" s="2">
        <v>43603</v>
      </c>
      <c r="F345" s="3" t="s">
        <v>277</v>
      </c>
      <c r="G345" s="3" t="s">
        <v>15</v>
      </c>
      <c r="H345" s="3" t="s">
        <v>11</v>
      </c>
      <c r="I345" s="3" t="s">
        <v>20</v>
      </c>
      <c r="J345" s="3" t="s">
        <v>21</v>
      </c>
      <c r="K345" s="3">
        <v>97.16</v>
      </c>
    </row>
    <row r="346" spans="1:11" x14ac:dyDescent="0.35">
      <c r="A346"/>
      <c r="E346" s="2">
        <v>43603</v>
      </c>
      <c r="F346" s="3" t="s">
        <v>476</v>
      </c>
      <c r="G346" s="3" t="s">
        <v>10</v>
      </c>
      <c r="H346" s="3" t="s">
        <v>49</v>
      </c>
      <c r="I346" s="3" t="s">
        <v>54</v>
      </c>
      <c r="J346" s="3" t="s">
        <v>477</v>
      </c>
      <c r="K346" s="3">
        <v>281.33999999999997</v>
      </c>
    </row>
    <row r="347" spans="1:11" x14ac:dyDescent="0.35">
      <c r="A347"/>
      <c r="E347" s="2">
        <v>43604</v>
      </c>
      <c r="F347" s="3" t="s">
        <v>478</v>
      </c>
      <c r="G347" s="3" t="s">
        <v>15</v>
      </c>
      <c r="H347" s="3" t="s">
        <v>11</v>
      </c>
      <c r="I347" s="3" t="s">
        <v>271</v>
      </c>
      <c r="J347" s="3" t="s">
        <v>272</v>
      </c>
      <c r="K347" s="3">
        <v>64.900000000000006</v>
      </c>
    </row>
    <row r="348" spans="1:11" x14ac:dyDescent="0.35">
      <c r="A348"/>
      <c r="E348" s="2">
        <v>43607</v>
      </c>
      <c r="F348" s="3" t="s">
        <v>352</v>
      </c>
      <c r="G348" s="3" t="s">
        <v>15</v>
      </c>
      <c r="H348" s="3" t="s">
        <v>16</v>
      </c>
      <c r="I348" s="3" t="s">
        <v>23</v>
      </c>
      <c r="J348" s="3" t="s">
        <v>26</v>
      </c>
      <c r="K348" s="3">
        <v>18.32</v>
      </c>
    </row>
    <row r="349" spans="1:11" x14ac:dyDescent="0.35">
      <c r="A349"/>
      <c r="E349" s="2">
        <v>43610</v>
      </c>
      <c r="F349" s="3" t="s">
        <v>479</v>
      </c>
      <c r="G349" s="3" t="s">
        <v>10</v>
      </c>
      <c r="H349" s="3" t="s">
        <v>28</v>
      </c>
      <c r="I349" s="3" t="s">
        <v>29</v>
      </c>
      <c r="J349" s="3" t="s">
        <v>480</v>
      </c>
      <c r="K349" s="3">
        <v>208.44</v>
      </c>
    </row>
    <row r="350" spans="1:11" x14ac:dyDescent="0.35">
      <c r="A350"/>
      <c r="E350" s="2">
        <v>43612</v>
      </c>
      <c r="F350" s="3" t="s">
        <v>481</v>
      </c>
      <c r="G350" s="3" t="s">
        <v>10</v>
      </c>
      <c r="H350" s="3" t="s">
        <v>49</v>
      </c>
      <c r="I350" s="3" t="s">
        <v>230</v>
      </c>
      <c r="J350" s="3" t="s">
        <v>482</v>
      </c>
      <c r="K350" s="3">
        <v>125.13</v>
      </c>
    </row>
    <row r="351" spans="1:11" x14ac:dyDescent="0.35">
      <c r="A351"/>
      <c r="E351" s="2">
        <v>43613</v>
      </c>
      <c r="F351" s="3" t="s">
        <v>483</v>
      </c>
      <c r="G351" s="3" t="s">
        <v>15</v>
      </c>
      <c r="H351" s="3" t="s">
        <v>16</v>
      </c>
      <c r="I351" s="3" t="s">
        <v>172</v>
      </c>
      <c r="J351" s="3" t="s">
        <v>51</v>
      </c>
      <c r="K351" s="3">
        <v>465.16</v>
      </c>
    </row>
    <row r="352" spans="1:11" x14ac:dyDescent="0.35">
      <c r="A352"/>
      <c r="E352" s="2">
        <v>43616</v>
      </c>
      <c r="F352" s="3" t="s">
        <v>312</v>
      </c>
      <c r="G352" s="3" t="s">
        <v>10</v>
      </c>
      <c r="H352" s="3" t="s">
        <v>49</v>
      </c>
      <c r="I352" s="3" t="s">
        <v>50</v>
      </c>
      <c r="J352" s="3" t="s">
        <v>205</v>
      </c>
      <c r="K352" s="3">
        <v>17.48</v>
      </c>
    </row>
    <row r="353" spans="1:11" x14ac:dyDescent="0.35">
      <c r="A353"/>
      <c r="E353" s="2">
        <v>43618</v>
      </c>
      <c r="F353" s="3" t="s">
        <v>484</v>
      </c>
      <c r="G353" s="3" t="s">
        <v>15</v>
      </c>
      <c r="H353" s="3" t="s">
        <v>28</v>
      </c>
      <c r="I353" s="3" t="s">
        <v>107</v>
      </c>
      <c r="J353" s="3" t="s">
        <v>485</v>
      </c>
      <c r="K353" s="3">
        <v>5.2</v>
      </c>
    </row>
    <row r="354" spans="1:11" x14ac:dyDescent="0.35">
      <c r="A354"/>
      <c r="E354" s="2">
        <v>43618</v>
      </c>
      <c r="F354" s="3" t="s">
        <v>484</v>
      </c>
      <c r="G354" s="3" t="s">
        <v>15</v>
      </c>
      <c r="H354" s="3" t="s">
        <v>28</v>
      </c>
      <c r="I354" s="3" t="s">
        <v>107</v>
      </c>
      <c r="J354" s="3" t="s">
        <v>485</v>
      </c>
      <c r="K354" s="3">
        <v>24.472000000000001</v>
      </c>
    </row>
    <row r="355" spans="1:11" x14ac:dyDescent="0.35">
      <c r="A355"/>
      <c r="E355" s="2">
        <v>43623</v>
      </c>
      <c r="F355" s="3" t="s">
        <v>486</v>
      </c>
      <c r="G355" s="3" t="s">
        <v>10</v>
      </c>
      <c r="H355" s="3" t="s">
        <v>16</v>
      </c>
      <c r="I355" s="3" t="s">
        <v>23</v>
      </c>
      <c r="J355" s="3" t="s">
        <v>339</v>
      </c>
      <c r="K355" s="3">
        <v>1.6240000000000001</v>
      </c>
    </row>
    <row r="356" spans="1:11" x14ac:dyDescent="0.35">
      <c r="A356"/>
      <c r="E356" s="2">
        <v>43626</v>
      </c>
      <c r="F356" s="3" t="s">
        <v>487</v>
      </c>
      <c r="G356" s="3" t="s">
        <v>15</v>
      </c>
      <c r="H356" s="3" t="s">
        <v>11</v>
      </c>
      <c r="I356" s="3" t="s">
        <v>38</v>
      </c>
      <c r="J356" s="3" t="s">
        <v>45</v>
      </c>
      <c r="K356" s="3">
        <v>61.44</v>
      </c>
    </row>
    <row r="357" spans="1:11" x14ac:dyDescent="0.35">
      <c r="A357"/>
      <c r="E357" s="2">
        <v>43630</v>
      </c>
      <c r="F357" s="3" t="s">
        <v>156</v>
      </c>
      <c r="G357" s="3" t="s">
        <v>10</v>
      </c>
      <c r="H357" s="3" t="s">
        <v>28</v>
      </c>
      <c r="I357" s="3" t="s">
        <v>136</v>
      </c>
      <c r="J357" s="3" t="s">
        <v>488</v>
      </c>
      <c r="K357" s="3">
        <v>76.608000000000004</v>
      </c>
    </row>
    <row r="358" spans="1:11" x14ac:dyDescent="0.35">
      <c r="A358"/>
      <c r="E358" s="2">
        <v>43631</v>
      </c>
      <c r="F358" s="3" t="s">
        <v>217</v>
      </c>
      <c r="G358" s="3" t="s">
        <v>15</v>
      </c>
      <c r="H358" s="3" t="s">
        <v>28</v>
      </c>
      <c r="I358" s="3" t="s">
        <v>29</v>
      </c>
      <c r="J358" s="3" t="s">
        <v>489</v>
      </c>
      <c r="K358" s="3">
        <v>180.66</v>
      </c>
    </row>
    <row r="359" spans="1:11" x14ac:dyDescent="0.35">
      <c r="A359"/>
      <c r="E359" s="2">
        <v>43634</v>
      </c>
      <c r="F359" s="3" t="s">
        <v>141</v>
      </c>
      <c r="G359" s="3" t="s">
        <v>15</v>
      </c>
      <c r="H359" s="3" t="s">
        <v>16</v>
      </c>
      <c r="I359" s="3" t="s">
        <v>23</v>
      </c>
      <c r="J359" s="3" t="s">
        <v>26</v>
      </c>
      <c r="K359" s="3">
        <v>2.2639999999999998</v>
      </c>
    </row>
    <row r="360" spans="1:11" x14ac:dyDescent="0.35">
      <c r="A360"/>
      <c r="E360" s="2">
        <v>43634</v>
      </c>
      <c r="F360" s="3" t="s">
        <v>141</v>
      </c>
      <c r="G360" s="3" t="s">
        <v>15</v>
      </c>
      <c r="H360" s="3" t="s">
        <v>16</v>
      </c>
      <c r="I360" s="3" t="s">
        <v>23</v>
      </c>
      <c r="J360" s="3" t="s">
        <v>26</v>
      </c>
      <c r="K360" s="3">
        <v>0.44400000000000001</v>
      </c>
    </row>
    <row r="361" spans="1:11" x14ac:dyDescent="0.35">
      <c r="A361"/>
      <c r="E361" s="2">
        <v>43644</v>
      </c>
      <c r="F361" s="3" t="s">
        <v>37</v>
      </c>
      <c r="G361" s="3" t="s">
        <v>15</v>
      </c>
      <c r="H361" s="3" t="s">
        <v>16</v>
      </c>
      <c r="I361" s="3" t="s">
        <v>32</v>
      </c>
      <c r="J361" s="3" t="s">
        <v>438</v>
      </c>
      <c r="K361" s="3">
        <v>362.94</v>
      </c>
    </row>
    <row r="362" spans="1:11" x14ac:dyDescent="0.35">
      <c r="A362"/>
      <c r="E362" s="2">
        <v>43644</v>
      </c>
      <c r="F362" s="3" t="s">
        <v>359</v>
      </c>
      <c r="G362" s="3" t="s">
        <v>15</v>
      </c>
      <c r="H362" s="3" t="s">
        <v>16</v>
      </c>
      <c r="I362" s="3" t="s">
        <v>23</v>
      </c>
      <c r="J362" s="3" t="s">
        <v>24</v>
      </c>
      <c r="K362" s="3">
        <v>21.391999999999999</v>
      </c>
    </row>
    <row r="363" spans="1:11" x14ac:dyDescent="0.35">
      <c r="A363"/>
      <c r="E363" s="2">
        <v>43654</v>
      </c>
      <c r="F363" s="3" t="s">
        <v>229</v>
      </c>
      <c r="G363" s="3" t="s">
        <v>10</v>
      </c>
      <c r="H363" s="3" t="s">
        <v>16</v>
      </c>
      <c r="I363" s="3" t="s">
        <v>65</v>
      </c>
      <c r="J363" s="3" t="s">
        <v>66</v>
      </c>
      <c r="K363" s="3">
        <v>58.463999999999999</v>
      </c>
    </row>
    <row r="364" spans="1:11" x14ac:dyDescent="0.35">
      <c r="A364"/>
      <c r="E364" s="2">
        <v>43655</v>
      </c>
      <c r="F364" s="3" t="s">
        <v>490</v>
      </c>
      <c r="G364" s="3" t="s">
        <v>10</v>
      </c>
      <c r="H364" s="3" t="s">
        <v>28</v>
      </c>
      <c r="I364" s="3" t="s">
        <v>41</v>
      </c>
      <c r="J364" s="3" t="s">
        <v>51</v>
      </c>
      <c r="K364" s="3">
        <v>41.91</v>
      </c>
    </row>
    <row r="365" spans="1:11" x14ac:dyDescent="0.35">
      <c r="A365"/>
      <c r="E365" s="2">
        <v>43656</v>
      </c>
      <c r="F365" s="3" t="s">
        <v>491</v>
      </c>
      <c r="G365" s="3" t="s">
        <v>10</v>
      </c>
      <c r="H365" s="3" t="s">
        <v>11</v>
      </c>
      <c r="I365" s="3" t="s">
        <v>38</v>
      </c>
      <c r="J365" s="3" t="s">
        <v>45</v>
      </c>
      <c r="K365" s="3">
        <v>168.1</v>
      </c>
    </row>
    <row r="366" spans="1:11" x14ac:dyDescent="0.35">
      <c r="A366"/>
      <c r="E366" s="2">
        <v>43660</v>
      </c>
      <c r="F366" s="3" t="s">
        <v>99</v>
      </c>
      <c r="G366" s="3" t="s">
        <v>10</v>
      </c>
      <c r="H366" s="3" t="s">
        <v>28</v>
      </c>
      <c r="I366" s="3" t="s">
        <v>253</v>
      </c>
      <c r="J366" s="3" t="s">
        <v>492</v>
      </c>
      <c r="K366" s="3">
        <v>179.94</v>
      </c>
    </row>
    <row r="367" spans="1:11" x14ac:dyDescent="0.35">
      <c r="A367"/>
      <c r="E367" s="2">
        <v>43665</v>
      </c>
      <c r="F367" s="3" t="s">
        <v>493</v>
      </c>
      <c r="G367" s="3" t="s">
        <v>10</v>
      </c>
      <c r="H367" s="3" t="s">
        <v>16</v>
      </c>
      <c r="I367" s="3" t="s">
        <v>494</v>
      </c>
      <c r="J367" s="3" t="s">
        <v>495</v>
      </c>
      <c r="K367" s="3">
        <v>416.32</v>
      </c>
    </row>
    <row r="368" spans="1:11" x14ac:dyDescent="0.35">
      <c r="A368"/>
      <c r="E368" s="2">
        <v>43666</v>
      </c>
      <c r="F368" s="3" t="s">
        <v>496</v>
      </c>
      <c r="G368" s="3" t="s">
        <v>15</v>
      </c>
      <c r="H368" s="3" t="s">
        <v>49</v>
      </c>
      <c r="I368" s="3" t="s">
        <v>54</v>
      </c>
      <c r="J368" s="3" t="s">
        <v>63</v>
      </c>
      <c r="K368" s="3">
        <v>17.48</v>
      </c>
    </row>
    <row r="369" spans="1:11" x14ac:dyDescent="0.35">
      <c r="A369"/>
      <c r="E369" s="2">
        <v>43674</v>
      </c>
      <c r="F369" s="3" t="s">
        <v>497</v>
      </c>
      <c r="G369" s="3" t="s">
        <v>15</v>
      </c>
      <c r="H369" s="3" t="s">
        <v>28</v>
      </c>
      <c r="I369" s="3" t="s">
        <v>90</v>
      </c>
      <c r="J369" s="3" t="s">
        <v>190</v>
      </c>
      <c r="K369" s="3">
        <v>34.847999999999999</v>
      </c>
    </row>
    <row r="370" spans="1:11" x14ac:dyDescent="0.35">
      <c r="A370"/>
      <c r="E370" s="2">
        <v>43674</v>
      </c>
      <c r="F370" s="3" t="s">
        <v>498</v>
      </c>
      <c r="G370" s="3" t="s">
        <v>15</v>
      </c>
      <c r="H370" s="3" t="s">
        <v>16</v>
      </c>
      <c r="I370" s="3" t="s">
        <v>74</v>
      </c>
      <c r="J370" s="3" t="s">
        <v>380</v>
      </c>
      <c r="K370" s="3">
        <v>137.62</v>
      </c>
    </row>
    <row r="371" spans="1:11" x14ac:dyDescent="0.35">
      <c r="A371"/>
      <c r="E371" s="2">
        <v>43676</v>
      </c>
      <c r="F371" s="3" t="s">
        <v>161</v>
      </c>
      <c r="G371" s="3" t="s">
        <v>10</v>
      </c>
      <c r="H371" s="3" t="s">
        <v>16</v>
      </c>
      <c r="I371" s="3" t="s">
        <v>151</v>
      </c>
      <c r="J371" s="3" t="s">
        <v>211</v>
      </c>
      <c r="K371" s="3">
        <v>155.88</v>
      </c>
    </row>
    <row r="372" spans="1:11" x14ac:dyDescent="0.35">
      <c r="A372"/>
      <c r="E372" s="2">
        <v>43683</v>
      </c>
      <c r="F372" s="3" t="s">
        <v>499</v>
      </c>
      <c r="G372" s="3" t="s">
        <v>15</v>
      </c>
      <c r="H372" s="3" t="s">
        <v>11</v>
      </c>
      <c r="I372" s="3" t="s">
        <v>38</v>
      </c>
      <c r="J372" s="3" t="s">
        <v>500</v>
      </c>
      <c r="K372" s="3">
        <v>1473.1</v>
      </c>
    </row>
    <row r="373" spans="1:11" x14ac:dyDescent="0.35">
      <c r="A373"/>
      <c r="E373" s="2">
        <v>43688</v>
      </c>
      <c r="F373" s="3" t="s">
        <v>111</v>
      </c>
      <c r="G373" s="3" t="s">
        <v>15</v>
      </c>
      <c r="H373" s="3" t="s">
        <v>11</v>
      </c>
      <c r="I373" s="3" t="s">
        <v>38</v>
      </c>
      <c r="J373" s="3" t="s">
        <v>501</v>
      </c>
      <c r="K373" s="3">
        <v>542.94000000000005</v>
      </c>
    </row>
    <row r="374" spans="1:11" x14ac:dyDescent="0.35">
      <c r="A374"/>
      <c r="E374" s="2">
        <v>43689</v>
      </c>
      <c r="F374" s="3" t="s">
        <v>288</v>
      </c>
      <c r="G374" s="3" t="s">
        <v>15</v>
      </c>
      <c r="H374" s="3" t="s">
        <v>11</v>
      </c>
      <c r="I374" s="3" t="s">
        <v>38</v>
      </c>
      <c r="J374" s="3" t="s">
        <v>39</v>
      </c>
      <c r="K374" s="3">
        <v>83.79</v>
      </c>
    </row>
    <row r="375" spans="1:11" x14ac:dyDescent="0.35">
      <c r="A375"/>
      <c r="E375" s="2">
        <v>43689</v>
      </c>
      <c r="F375" s="3" t="s">
        <v>502</v>
      </c>
      <c r="G375" s="3" t="s">
        <v>15</v>
      </c>
      <c r="H375" s="3" t="s">
        <v>28</v>
      </c>
      <c r="I375" s="3" t="s">
        <v>136</v>
      </c>
      <c r="J375" s="3" t="s">
        <v>503</v>
      </c>
      <c r="K375" s="3">
        <v>272.048</v>
      </c>
    </row>
    <row r="376" spans="1:11" x14ac:dyDescent="0.35">
      <c r="A376"/>
      <c r="E376" s="2">
        <v>43691</v>
      </c>
      <c r="F376" s="3" t="s">
        <v>504</v>
      </c>
      <c r="G376" s="3" t="s">
        <v>15</v>
      </c>
      <c r="H376" s="3" t="s">
        <v>49</v>
      </c>
      <c r="I376" s="3" t="s">
        <v>117</v>
      </c>
      <c r="J376" s="3" t="s">
        <v>464</v>
      </c>
      <c r="K376" s="3">
        <v>97.84</v>
      </c>
    </row>
    <row r="377" spans="1:11" x14ac:dyDescent="0.35">
      <c r="A377"/>
      <c r="E377" s="2">
        <v>43693</v>
      </c>
      <c r="F377" s="3" t="s">
        <v>505</v>
      </c>
      <c r="G377" s="3" t="s">
        <v>44</v>
      </c>
      <c r="H377" s="3" t="s">
        <v>16</v>
      </c>
      <c r="I377" s="3" t="s">
        <v>23</v>
      </c>
      <c r="J377" s="3" t="s">
        <v>26</v>
      </c>
      <c r="K377" s="3">
        <v>38.863999999999997</v>
      </c>
    </row>
    <row r="378" spans="1:11" x14ac:dyDescent="0.35">
      <c r="A378"/>
      <c r="E378" s="2">
        <v>43693</v>
      </c>
      <c r="F378" s="3" t="s">
        <v>247</v>
      </c>
      <c r="G378" s="3" t="s">
        <v>10</v>
      </c>
      <c r="H378" s="3" t="s">
        <v>11</v>
      </c>
      <c r="I378" s="3" t="s">
        <v>38</v>
      </c>
      <c r="J378" s="3" t="s">
        <v>160</v>
      </c>
      <c r="K378" s="3">
        <v>2518.29</v>
      </c>
    </row>
    <row r="379" spans="1:11" x14ac:dyDescent="0.35">
      <c r="A379"/>
      <c r="E379" s="2">
        <v>43697</v>
      </c>
      <c r="F379" s="3" t="s">
        <v>506</v>
      </c>
      <c r="G379" s="3" t="s">
        <v>15</v>
      </c>
      <c r="H379" s="3" t="s">
        <v>11</v>
      </c>
      <c r="I379" s="3" t="s">
        <v>38</v>
      </c>
      <c r="J379" s="3" t="s">
        <v>507</v>
      </c>
      <c r="K379" s="3">
        <v>203.52</v>
      </c>
    </row>
    <row r="380" spans="1:11" x14ac:dyDescent="0.35">
      <c r="A380"/>
      <c r="E380" s="2">
        <v>43699</v>
      </c>
      <c r="F380" s="3" t="s">
        <v>508</v>
      </c>
      <c r="G380" s="3" t="s">
        <v>15</v>
      </c>
      <c r="H380" s="3" t="s">
        <v>28</v>
      </c>
      <c r="I380" s="3" t="s">
        <v>107</v>
      </c>
      <c r="J380" s="3" t="s">
        <v>509</v>
      </c>
      <c r="K380" s="3">
        <v>161.376</v>
      </c>
    </row>
    <row r="381" spans="1:11" x14ac:dyDescent="0.35">
      <c r="A381"/>
      <c r="E381" s="2">
        <v>43700</v>
      </c>
      <c r="F381" s="3" t="s">
        <v>125</v>
      </c>
      <c r="G381" s="3" t="s">
        <v>15</v>
      </c>
      <c r="H381" s="3" t="s">
        <v>49</v>
      </c>
      <c r="I381" s="3" t="s">
        <v>50</v>
      </c>
      <c r="J381" s="3" t="s">
        <v>134</v>
      </c>
      <c r="K381" s="3">
        <v>646.27200000000005</v>
      </c>
    </row>
    <row r="382" spans="1:11" x14ac:dyDescent="0.35">
      <c r="A382"/>
      <c r="E382" s="2">
        <v>43703</v>
      </c>
      <c r="F382" s="3" t="s">
        <v>510</v>
      </c>
      <c r="G382" s="3" t="s">
        <v>10</v>
      </c>
      <c r="H382" s="3" t="s">
        <v>11</v>
      </c>
      <c r="I382" s="3" t="s">
        <v>38</v>
      </c>
      <c r="J382" s="3" t="s">
        <v>511</v>
      </c>
      <c r="K382" s="3">
        <v>321.92</v>
      </c>
    </row>
    <row r="383" spans="1:11" x14ac:dyDescent="0.35">
      <c r="A383"/>
      <c r="E383" s="2">
        <v>43703</v>
      </c>
      <c r="F383" s="3" t="s">
        <v>512</v>
      </c>
      <c r="G383" s="3" t="s">
        <v>15</v>
      </c>
      <c r="H383" s="3" t="s">
        <v>28</v>
      </c>
      <c r="I383" s="3" t="s">
        <v>107</v>
      </c>
      <c r="J383" s="3" t="s">
        <v>513</v>
      </c>
      <c r="K383" s="3">
        <v>14.336</v>
      </c>
    </row>
    <row r="384" spans="1:11" x14ac:dyDescent="0.35">
      <c r="A384"/>
      <c r="E384" s="2">
        <v>43704</v>
      </c>
      <c r="F384" s="3" t="s">
        <v>514</v>
      </c>
      <c r="G384" s="3" t="s">
        <v>44</v>
      </c>
      <c r="H384" s="3" t="s">
        <v>16</v>
      </c>
      <c r="I384" s="3" t="s">
        <v>151</v>
      </c>
      <c r="J384" s="3" t="s">
        <v>211</v>
      </c>
      <c r="K384" s="3">
        <v>91.6</v>
      </c>
    </row>
    <row r="385" spans="1:11" x14ac:dyDescent="0.35">
      <c r="A385"/>
      <c r="E385" s="2">
        <v>43707</v>
      </c>
      <c r="F385" s="3" t="s">
        <v>279</v>
      </c>
      <c r="G385" s="3" t="s">
        <v>15</v>
      </c>
      <c r="H385" s="3" t="s">
        <v>16</v>
      </c>
      <c r="I385" s="3" t="s">
        <v>172</v>
      </c>
      <c r="J385" s="3" t="s">
        <v>61</v>
      </c>
      <c r="K385" s="3">
        <v>638.73</v>
      </c>
    </row>
    <row r="386" spans="1:11" x14ac:dyDescent="0.35">
      <c r="A386"/>
      <c r="E386" s="2">
        <v>43708</v>
      </c>
      <c r="F386" s="3" t="s">
        <v>247</v>
      </c>
      <c r="G386" s="3" t="s">
        <v>10</v>
      </c>
      <c r="H386" s="3" t="s">
        <v>11</v>
      </c>
      <c r="I386" s="3" t="s">
        <v>20</v>
      </c>
      <c r="J386" s="3" t="s">
        <v>21</v>
      </c>
      <c r="K386" s="3">
        <v>314.60000000000002</v>
      </c>
    </row>
    <row r="387" spans="1:11" x14ac:dyDescent="0.35">
      <c r="A387"/>
      <c r="E387" s="2">
        <v>43709</v>
      </c>
      <c r="F387" s="3" t="s">
        <v>515</v>
      </c>
      <c r="G387" s="3" t="s">
        <v>10</v>
      </c>
      <c r="H387" s="3" t="s">
        <v>49</v>
      </c>
      <c r="I387" s="3" t="s">
        <v>54</v>
      </c>
      <c r="J387" s="3" t="s">
        <v>63</v>
      </c>
      <c r="K387" s="3">
        <v>12.98</v>
      </c>
    </row>
    <row r="388" spans="1:11" x14ac:dyDescent="0.35">
      <c r="A388"/>
      <c r="E388" s="2">
        <v>43709</v>
      </c>
      <c r="F388" s="3" t="s">
        <v>516</v>
      </c>
      <c r="G388" s="3" t="s">
        <v>10</v>
      </c>
      <c r="H388" s="3" t="s">
        <v>16</v>
      </c>
      <c r="I388" s="3" t="s">
        <v>65</v>
      </c>
      <c r="J388" s="3" t="s">
        <v>66</v>
      </c>
      <c r="K388" s="3">
        <v>5.5880000000000001</v>
      </c>
    </row>
    <row r="389" spans="1:11" x14ac:dyDescent="0.35">
      <c r="A389"/>
      <c r="E389" s="2">
        <v>43714</v>
      </c>
      <c r="F389" s="3" t="s">
        <v>138</v>
      </c>
      <c r="G389" s="3" t="s">
        <v>10</v>
      </c>
      <c r="H389" s="3" t="s">
        <v>28</v>
      </c>
      <c r="I389" s="3" t="s">
        <v>136</v>
      </c>
      <c r="J389" s="3" t="s">
        <v>488</v>
      </c>
      <c r="K389" s="3">
        <v>81.567999999999998</v>
      </c>
    </row>
    <row r="390" spans="1:11" x14ac:dyDescent="0.35">
      <c r="A390"/>
      <c r="E390" s="2">
        <v>43716</v>
      </c>
      <c r="F390" s="3" t="s">
        <v>468</v>
      </c>
      <c r="G390" s="3" t="s">
        <v>10</v>
      </c>
      <c r="H390" s="3" t="s">
        <v>11</v>
      </c>
      <c r="I390" s="3" t="s">
        <v>12</v>
      </c>
      <c r="J390" s="3" t="s">
        <v>517</v>
      </c>
      <c r="K390" s="3">
        <v>11.176</v>
      </c>
    </row>
    <row r="391" spans="1:11" x14ac:dyDescent="0.35">
      <c r="A391"/>
      <c r="E391" s="2">
        <v>43717</v>
      </c>
      <c r="F391" s="3" t="s">
        <v>427</v>
      </c>
      <c r="G391" s="3" t="s">
        <v>15</v>
      </c>
      <c r="H391" s="3" t="s">
        <v>16</v>
      </c>
      <c r="I391" s="3" t="s">
        <v>320</v>
      </c>
      <c r="J391" s="3" t="s">
        <v>13</v>
      </c>
      <c r="K391" s="3">
        <v>33.99</v>
      </c>
    </row>
    <row r="392" spans="1:11" x14ac:dyDescent="0.35">
      <c r="A392"/>
      <c r="E392" s="2">
        <v>43717</v>
      </c>
      <c r="F392" s="3" t="s">
        <v>427</v>
      </c>
      <c r="G392" s="3" t="s">
        <v>15</v>
      </c>
      <c r="H392" s="3" t="s">
        <v>16</v>
      </c>
      <c r="I392" s="3" t="s">
        <v>320</v>
      </c>
      <c r="J392" s="3" t="s">
        <v>13</v>
      </c>
      <c r="K392" s="3">
        <v>24.18</v>
      </c>
    </row>
    <row r="393" spans="1:11" x14ac:dyDescent="0.35">
      <c r="A393"/>
      <c r="E393" s="2">
        <v>43718</v>
      </c>
      <c r="F393" s="3" t="s">
        <v>518</v>
      </c>
      <c r="G393" s="3" t="s">
        <v>15</v>
      </c>
      <c r="H393" s="3" t="s">
        <v>11</v>
      </c>
      <c r="I393" s="3" t="s">
        <v>38</v>
      </c>
      <c r="J393" s="3" t="s">
        <v>39</v>
      </c>
      <c r="K393" s="3">
        <v>406.6</v>
      </c>
    </row>
    <row r="394" spans="1:11" x14ac:dyDescent="0.35">
      <c r="A394"/>
      <c r="E394" s="2">
        <v>43718</v>
      </c>
      <c r="F394" s="3" t="s">
        <v>519</v>
      </c>
      <c r="G394" s="3" t="s">
        <v>15</v>
      </c>
      <c r="H394" s="3" t="s">
        <v>16</v>
      </c>
      <c r="I394" s="3" t="s">
        <v>23</v>
      </c>
      <c r="J394" s="3" t="s">
        <v>26</v>
      </c>
      <c r="K394" s="3">
        <v>1.556</v>
      </c>
    </row>
    <row r="395" spans="1:11" x14ac:dyDescent="0.35">
      <c r="A395"/>
      <c r="E395" s="2">
        <v>43718</v>
      </c>
      <c r="F395" s="3" t="s">
        <v>518</v>
      </c>
      <c r="G395" s="3" t="s">
        <v>15</v>
      </c>
      <c r="H395" s="3" t="s">
        <v>28</v>
      </c>
      <c r="I395" s="3" t="s">
        <v>253</v>
      </c>
      <c r="J395" s="3" t="s">
        <v>30</v>
      </c>
      <c r="K395" s="3">
        <v>67.900000000000006</v>
      </c>
    </row>
    <row r="396" spans="1:11" x14ac:dyDescent="0.35">
      <c r="A396"/>
      <c r="E396" s="2">
        <v>43718</v>
      </c>
      <c r="F396" s="3" t="s">
        <v>520</v>
      </c>
      <c r="G396" s="3" t="s">
        <v>15</v>
      </c>
      <c r="H396" s="3" t="s">
        <v>28</v>
      </c>
      <c r="I396" s="3" t="s">
        <v>29</v>
      </c>
      <c r="J396" s="3" t="s">
        <v>521</v>
      </c>
      <c r="K396" s="3">
        <v>195.68</v>
      </c>
    </row>
    <row r="397" spans="1:11" x14ac:dyDescent="0.35">
      <c r="A397"/>
      <c r="E397" s="2">
        <v>43719</v>
      </c>
      <c r="F397" s="3" t="s">
        <v>522</v>
      </c>
      <c r="G397" s="3" t="s">
        <v>15</v>
      </c>
      <c r="H397" s="3" t="s">
        <v>49</v>
      </c>
      <c r="I397" s="3" t="s">
        <v>230</v>
      </c>
      <c r="J397" s="3" t="s">
        <v>231</v>
      </c>
      <c r="K397" s="3">
        <v>90.86</v>
      </c>
    </row>
    <row r="398" spans="1:11" x14ac:dyDescent="0.35">
      <c r="A398"/>
      <c r="E398" s="2">
        <v>43721</v>
      </c>
      <c r="F398" s="3" t="s">
        <v>523</v>
      </c>
      <c r="G398" s="3" t="s">
        <v>10</v>
      </c>
      <c r="H398" s="3" t="s">
        <v>28</v>
      </c>
      <c r="I398" s="3" t="s">
        <v>90</v>
      </c>
      <c r="J398" s="3" t="s">
        <v>450</v>
      </c>
      <c r="K398" s="3">
        <v>942.78399999999999</v>
      </c>
    </row>
    <row r="399" spans="1:11" x14ac:dyDescent="0.35">
      <c r="A399"/>
      <c r="E399" s="2">
        <v>43722</v>
      </c>
      <c r="F399" s="3" t="s">
        <v>478</v>
      </c>
      <c r="G399" s="3" t="s">
        <v>15</v>
      </c>
      <c r="H399" s="3" t="s">
        <v>11</v>
      </c>
      <c r="I399" s="3" t="s">
        <v>38</v>
      </c>
      <c r="J399" s="3" t="s">
        <v>39</v>
      </c>
      <c r="K399" s="3">
        <v>108.96</v>
      </c>
    </row>
    <row r="400" spans="1:11" x14ac:dyDescent="0.35">
      <c r="A400"/>
      <c r="E400" s="2">
        <v>43728</v>
      </c>
      <c r="F400" s="3" t="s">
        <v>524</v>
      </c>
      <c r="G400" s="3" t="s">
        <v>15</v>
      </c>
      <c r="H400" s="3" t="s">
        <v>28</v>
      </c>
      <c r="I400" s="3" t="s">
        <v>41</v>
      </c>
      <c r="J400" s="3" t="s">
        <v>51</v>
      </c>
      <c r="K400" s="3">
        <v>80.48</v>
      </c>
    </row>
    <row r="401" spans="1:11" x14ac:dyDescent="0.35">
      <c r="A401"/>
      <c r="E401" s="2">
        <v>43730</v>
      </c>
      <c r="F401" s="3" t="s">
        <v>525</v>
      </c>
      <c r="G401" s="3" t="s">
        <v>15</v>
      </c>
      <c r="H401" s="3" t="s">
        <v>11</v>
      </c>
      <c r="I401" s="3" t="s">
        <v>20</v>
      </c>
      <c r="J401" s="3" t="s">
        <v>21</v>
      </c>
      <c r="K401" s="3">
        <v>119.96</v>
      </c>
    </row>
    <row r="402" spans="1:11" x14ac:dyDescent="0.35">
      <c r="A402"/>
      <c r="E402" s="2">
        <v>43730</v>
      </c>
      <c r="F402" s="3" t="s">
        <v>92</v>
      </c>
      <c r="G402" s="3" t="s">
        <v>15</v>
      </c>
      <c r="H402" s="3" t="s">
        <v>11</v>
      </c>
      <c r="I402" s="3" t="s">
        <v>38</v>
      </c>
      <c r="J402" s="3" t="s">
        <v>39</v>
      </c>
      <c r="K402" s="3">
        <v>160.96</v>
      </c>
    </row>
    <row r="403" spans="1:11" x14ac:dyDescent="0.35">
      <c r="A403"/>
      <c r="E403" s="2">
        <v>43730</v>
      </c>
      <c r="F403" s="3" t="s">
        <v>303</v>
      </c>
      <c r="G403" s="3" t="s">
        <v>15</v>
      </c>
      <c r="H403" s="3" t="s">
        <v>16</v>
      </c>
      <c r="I403" s="3" t="s">
        <v>65</v>
      </c>
      <c r="J403" s="3" t="s">
        <v>66</v>
      </c>
      <c r="K403" s="3">
        <v>73.176000000000002</v>
      </c>
    </row>
    <row r="404" spans="1:11" x14ac:dyDescent="0.35">
      <c r="A404"/>
      <c r="E404" s="2">
        <v>43735</v>
      </c>
      <c r="F404" s="3" t="s">
        <v>526</v>
      </c>
      <c r="G404" s="3" t="s">
        <v>44</v>
      </c>
      <c r="H404" s="3" t="s">
        <v>11</v>
      </c>
      <c r="I404" s="3" t="s">
        <v>81</v>
      </c>
      <c r="J404" s="3" t="s">
        <v>82</v>
      </c>
      <c r="K404" s="3">
        <v>209.792</v>
      </c>
    </row>
    <row r="405" spans="1:11" x14ac:dyDescent="0.35">
      <c r="A405"/>
      <c r="E405" s="2">
        <v>43736</v>
      </c>
      <c r="F405" s="3" t="s">
        <v>207</v>
      </c>
      <c r="G405" s="3" t="s">
        <v>15</v>
      </c>
      <c r="H405" s="3" t="s">
        <v>11</v>
      </c>
      <c r="I405" s="3" t="s">
        <v>38</v>
      </c>
      <c r="J405" s="3" t="s">
        <v>527</v>
      </c>
      <c r="K405" s="3">
        <v>97.84</v>
      </c>
    </row>
    <row r="406" spans="1:11" x14ac:dyDescent="0.35">
      <c r="A406"/>
      <c r="E406" s="2">
        <v>43737</v>
      </c>
      <c r="F406" s="3" t="s">
        <v>528</v>
      </c>
      <c r="G406" s="3" t="s">
        <v>10</v>
      </c>
      <c r="H406" s="3" t="s">
        <v>11</v>
      </c>
      <c r="I406" s="3" t="s">
        <v>20</v>
      </c>
      <c r="J406" s="3" t="s">
        <v>21</v>
      </c>
      <c r="K406" s="3">
        <v>3.89</v>
      </c>
    </row>
    <row r="407" spans="1:11" x14ac:dyDescent="0.35">
      <c r="A407"/>
      <c r="E407" s="2">
        <v>43738</v>
      </c>
      <c r="F407" s="3" t="s">
        <v>529</v>
      </c>
      <c r="G407" s="3" t="s">
        <v>15</v>
      </c>
      <c r="H407" s="3" t="s">
        <v>11</v>
      </c>
      <c r="I407" s="3" t="s">
        <v>38</v>
      </c>
      <c r="J407" s="3" t="s">
        <v>373</v>
      </c>
      <c r="K407" s="3">
        <v>241.96</v>
      </c>
    </row>
    <row r="408" spans="1:11" x14ac:dyDescent="0.35">
      <c r="A408"/>
      <c r="E408" s="2">
        <v>43739</v>
      </c>
      <c r="F408" s="3" t="s">
        <v>413</v>
      </c>
      <c r="G408" s="3" t="s">
        <v>10</v>
      </c>
      <c r="H408" s="3" t="s">
        <v>16</v>
      </c>
      <c r="I408" s="3" t="s">
        <v>23</v>
      </c>
      <c r="J408" s="3" t="s">
        <v>26</v>
      </c>
      <c r="K408" s="3">
        <v>15.224</v>
      </c>
    </row>
    <row r="409" spans="1:11" x14ac:dyDescent="0.35">
      <c r="A409"/>
      <c r="E409" s="2">
        <v>43739</v>
      </c>
      <c r="F409" s="3" t="s">
        <v>413</v>
      </c>
      <c r="G409" s="3" t="s">
        <v>10</v>
      </c>
      <c r="H409" s="3" t="s">
        <v>16</v>
      </c>
      <c r="I409" s="3" t="s">
        <v>23</v>
      </c>
      <c r="J409" s="3" t="s">
        <v>26</v>
      </c>
      <c r="K409" s="3">
        <v>21.984000000000002</v>
      </c>
    </row>
    <row r="410" spans="1:11" x14ac:dyDescent="0.35">
      <c r="A410"/>
      <c r="E410" s="2">
        <v>43740</v>
      </c>
      <c r="F410" s="3" t="s">
        <v>508</v>
      </c>
      <c r="G410" s="3" t="s">
        <v>15</v>
      </c>
      <c r="H410" s="3" t="s">
        <v>28</v>
      </c>
      <c r="I410" s="3" t="s">
        <v>107</v>
      </c>
      <c r="J410" s="3" t="s">
        <v>400</v>
      </c>
      <c r="K410" s="3">
        <v>17.920000000000002</v>
      </c>
    </row>
    <row r="411" spans="1:11" x14ac:dyDescent="0.35">
      <c r="A411"/>
      <c r="E411" s="2">
        <v>43742</v>
      </c>
      <c r="F411" s="3" t="s">
        <v>530</v>
      </c>
      <c r="G411" s="3" t="s">
        <v>10</v>
      </c>
      <c r="H411" s="3" t="s">
        <v>11</v>
      </c>
      <c r="I411" s="3" t="s">
        <v>38</v>
      </c>
      <c r="J411" s="3" t="s">
        <v>531</v>
      </c>
      <c r="K411" s="3">
        <v>15.8</v>
      </c>
    </row>
    <row r="412" spans="1:11" x14ac:dyDescent="0.35">
      <c r="A412"/>
      <c r="E412" s="2">
        <v>43743</v>
      </c>
      <c r="F412" s="3" t="s">
        <v>532</v>
      </c>
      <c r="G412" s="3" t="s">
        <v>44</v>
      </c>
      <c r="H412" s="3" t="s">
        <v>11</v>
      </c>
      <c r="I412" s="3" t="s">
        <v>533</v>
      </c>
      <c r="J412" s="3" t="s">
        <v>534</v>
      </c>
      <c r="K412" s="3">
        <v>227.84</v>
      </c>
    </row>
    <row r="413" spans="1:11" x14ac:dyDescent="0.35">
      <c r="A413"/>
      <c r="E413" s="2">
        <v>43750</v>
      </c>
      <c r="F413" s="3" t="s">
        <v>361</v>
      </c>
      <c r="G413" s="3" t="s">
        <v>15</v>
      </c>
      <c r="H413" s="3" t="s">
        <v>49</v>
      </c>
      <c r="I413" s="3" t="s">
        <v>54</v>
      </c>
      <c r="J413" s="3" t="s">
        <v>63</v>
      </c>
      <c r="K413" s="3">
        <v>904.9</v>
      </c>
    </row>
    <row r="414" spans="1:11" x14ac:dyDescent="0.35">
      <c r="A414"/>
      <c r="E414" s="2">
        <v>43758</v>
      </c>
      <c r="F414" s="3" t="s">
        <v>392</v>
      </c>
      <c r="G414" s="3" t="s">
        <v>15</v>
      </c>
      <c r="H414" s="3" t="s">
        <v>16</v>
      </c>
      <c r="I414" s="3" t="s">
        <v>65</v>
      </c>
      <c r="J414" s="3" t="s">
        <v>66</v>
      </c>
      <c r="K414" s="3">
        <v>23.992000000000001</v>
      </c>
    </row>
    <row r="415" spans="1:11" x14ac:dyDescent="0.35">
      <c r="A415"/>
      <c r="E415" s="2">
        <v>43758</v>
      </c>
      <c r="F415" s="3" t="s">
        <v>381</v>
      </c>
      <c r="G415" s="3" t="s">
        <v>44</v>
      </c>
      <c r="H415" s="3" t="s">
        <v>49</v>
      </c>
      <c r="I415" s="3" t="s">
        <v>50</v>
      </c>
      <c r="J415" s="3" t="s">
        <v>535</v>
      </c>
      <c r="K415" s="3">
        <v>161.56800000000001</v>
      </c>
    </row>
    <row r="416" spans="1:11" x14ac:dyDescent="0.35">
      <c r="A416"/>
      <c r="E416" s="2">
        <v>43760</v>
      </c>
      <c r="F416" s="3" t="s">
        <v>536</v>
      </c>
      <c r="G416" s="3" t="s">
        <v>10</v>
      </c>
      <c r="H416" s="3" t="s">
        <v>49</v>
      </c>
      <c r="I416" s="3" t="s">
        <v>537</v>
      </c>
      <c r="J416" s="3" t="s">
        <v>538</v>
      </c>
      <c r="K416" s="3">
        <v>2.2200000000000002</v>
      </c>
    </row>
    <row r="417" spans="1:11" x14ac:dyDescent="0.35">
      <c r="A417"/>
      <c r="E417" s="2">
        <v>43767</v>
      </c>
      <c r="F417" s="3" t="s">
        <v>539</v>
      </c>
      <c r="G417" s="3" t="s">
        <v>15</v>
      </c>
      <c r="H417" s="3" t="s">
        <v>11</v>
      </c>
      <c r="I417" s="3" t="s">
        <v>38</v>
      </c>
      <c r="J417" s="3" t="s">
        <v>39</v>
      </c>
      <c r="K417" s="3">
        <v>1702.12</v>
      </c>
    </row>
    <row r="418" spans="1:11" x14ac:dyDescent="0.35">
      <c r="A418"/>
      <c r="E418" s="2">
        <v>43770</v>
      </c>
      <c r="F418" s="3" t="s">
        <v>540</v>
      </c>
      <c r="G418" s="3" t="s">
        <v>10</v>
      </c>
      <c r="H418" s="3" t="s">
        <v>49</v>
      </c>
      <c r="I418" s="3" t="s">
        <v>77</v>
      </c>
      <c r="J418" s="3" t="s">
        <v>78</v>
      </c>
      <c r="K418" s="3">
        <v>20.135999999999999</v>
      </c>
    </row>
    <row r="419" spans="1:11" x14ac:dyDescent="0.35">
      <c r="A419"/>
      <c r="E419" s="2">
        <v>43770</v>
      </c>
      <c r="F419" s="3" t="s">
        <v>541</v>
      </c>
      <c r="G419" s="3" t="s">
        <v>15</v>
      </c>
      <c r="H419" s="3" t="s">
        <v>11</v>
      </c>
      <c r="I419" s="3" t="s">
        <v>38</v>
      </c>
      <c r="J419" s="3" t="s">
        <v>45</v>
      </c>
      <c r="K419" s="3">
        <v>168.1</v>
      </c>
    </row>
    <row r="420" spans="1:11" x14ac:dyDescent="0.35">
      <c r="A420"/>
      <c r="E420" s="2">
        <v>43770</v>
      </c>
      <c r="F420" s="3" t="s">
        <v>542</v>
      </c>
      <c r="G420" s="3" t="s">
        <v>15</v>
      </c>
      <c r="H420" s="3" t="s">
        <v>16</v>
      </c>
      <c r="I420" s="3" t="s">
        <v>320</v>
      </c>
      <c r="J420" s="3" t="s">
        <v>543</v>
      </c>
      <c r="K420" s="3">
        <v>83.9</v>
      </c>
    </row>
    <row r="421" spans="1:11" x14ac:dyDescent="0.35">
      <c r="A421"/>
      <c r="E421" s="2">
        <v>43772</v>
      </c>
      <c r="F421" s="3" t="s">
        <v>544</v>
      </c>
      <c r="G421" s="3" t="s">
        <v>10</v>
      </c>
      <c r="H421" s="3" t="s">
        <v>28</v>
      </c>
      <c r="I421" s="3" t="s">
        <v>90</v>
      </c>
      <c r="J421" s="3" t="s">
        <v>430</v>
      </c>
      <c r="K421" s="3">
        <v>167.44</v>
      </c>
    </row>
    <row r="422" spans="1:11" x14ac:dyDescent="0.35">
      <c r="A422"/>
      <c r="E422" s="2">
        <v>43774</v>
      </c>
      <c r="F422" s="3" t="s">
        <v>545</v>
      </c>
      <c r="G422" s="3" t="s">
        <v>15</v>
      </c>
      <c r="H422" s="3" t="s">
        <v>28</v>
      </c>
      <c r="I422" s="3" t="s">
        <v>90</v>
      </c>
      <c r="J422" s="3" t="s">
        <v>299</v>
      </c>
      <c r="K422" s="3">
        <v>499.584</v>
      </c>
    </row>
    <row r="423" spans="1:11" x14ac:dyDescent="0.35">
      <c r="A423"/>
      <c r="E423" s="2">
        <v>43775</v>
      </c>
      <c r="F423" s="3" t="s">
        <v>546</v>
      </c>
      <c r="G423" s="3" t="s">
        <v>15</v>
      </c>
      <c r="H423" s="3" t="s">
        <v>49</v>
      </c>
      <c r="I423" s="3" t="s">
        <v>84</v>
      </c>
      <c r="J423" s="3" t="s">
        <v>85</v>
      </c>
      <c r="K423" s="3">
        <v>100.94</v>
      </c>
    </row>
    <row r="424" spans="1:11" x14ac:dyDescent="0.35">
      <c r="A424"/>
      <c r="E424" s="2">
        <v>43778</v>
      </c>
      <c r="F424" s="3" t="s">
        <v>547</v>
      </c>
      <c r="G424" s="3" t="s">
        <v>15</v>
      </c>
      <c r="H424" s="3" t="s">
        <v>11</v>
      </c>
      <c r="I424" s="3" t="s">
        <v>20</v>
      </c>
      <c r="J424" s="3" t="s">
        <v>548</v>
      </c>
      <c r="K424" s="3">
        <v>400.8</v>
      </c>
    </row>
    <row r="425" spans="1:11" x14ac:dyDescent="0.35">
      <c r="A425"/>
      <c r="E425" s="2">
        <v>43779</v>
      </c>
      <c r="F425" s="3" t="s">
        <v>549</v>
      </c>
      <c r="G425" s="3" t="s">
        <v>15</v>
      </c>
      <c r="H425" s="3" t="s">
        <v>11</v>
      </c>
      <c r="I425" s="3" t="s">
        <v>38</v>
      </c>
      <c r="J425" s="3" t="s">
        <v>45</v>
      </c>
      <c r="K425" s="3">
        <v>10.89</v>
      </c>
    </row>
    <row r="426" spans="1:11" x14ac:dyDescent="0.35">
      <c r="A426"/>
      <c r="E426" s="2">
        <v>43779</v>
      </c>
      <c r="F426" s="3" t="s">
        <v>275</v>
      </c>
      <c r="G426" s="3" t="s">
        <v>10</v>
      </c>
      <c r="H426" s="3" t="s">
        <v>28</v>
      </c>
      <c r="I426" s="3" t="s">
        <v>107</v>
      </c>
      <c r="J426" s="3" t="s">
        <v>550</v>
      </c>
      <c r="K426" s="3">
        <v>1158.1199999999999</v>
      </c>
    </row>
    <row r="427" spans="1:11" x14ac:dyDescent="0.35">
      <c r="A427"/>
      <c r="E427" s="2">
        <v>43780</v>
      </c>
      <c r="F427" s="3" t="s">
        <v>551</v>
      </c>
      <c r="G427" s="3" t="s">
        <v>15</v>
      </c>
      <c r="H427" s="3" t="s">
        <v>11</v>
      </c>
      <c r="I427" s="3" t="s">
        <v>20</v>
      </c>
      <c r="J427" s="3" t="s">
        <v>552</v>
      </c>
      <c r="K427" s="3">
        <v>76.12</v>
      </c>
    </row>
    <row r="428" spans="1:11" x14ac:dyDescent="0.35">
      <c r="A428"/>
      <c r="E428" s="2">
        <v>43781</v>
      </c>
      <c r="F428" s="3" t="s">
        <v>553</v>
      </c>
      <c r="G428" s="3" t="s">
        <v>44</v>
      </c>
      <c r="H428" s="3" t="s">
        <v>16</v>
      </c>
      <c r="I428" s="3" t="s">
        <v>23</v>
      </c>
      <c r="J428" s="3" t="s">
        <v>26</v>
      </c>
      <c r="K428" s="3">
        <v>9.3239999999999998</v>
      </c>
    </row>
    <row r="429" spans="1:11" x14ac:dyDescent="0.35">
      <c r="A429"/>
      <c r="E429" s="2">
        <v>43785</v>
      </c>
      <c r="F429" s="3" t="s">
        <v>109</v>
      </c>
      <c r="G429" s="3" t="s">
        <v>15</v>
      </c>
      <c r="H429" s="3" t="s">
        <v>28</v>
      </c>
      <c r="I429" s="3" t="s">
        <v>253</v>
      </c>
      <c r="J429" s="3" t="s">
        <v>554</v>
      </c>
      <c r="K429" s="3">
        <v>35.04</v>
      </c>
    </row>
    <row r="430" spans="1:11" x14ac:dyDescent="0.35">
      <c r="A430"/>
      <c r="E430" s="2">
        <v>43786</v>
      </c>
      <c r="F430" s="3" t="s">
        <v>555</v>
      </c>
      <c r="G430" s="3" t="s">
        <v>10</v>
      </c>
      <c r="H430" s="3" t="s">
        <v>28</v>
      </c>
      <c r="I430" s="3" t="s">
        <v>107</v>
      </c>
      <c r="J430" s="3" t="s">
        <v>556</v>
      </c>
      <c r="K430" s="3">
        <v>389.05599999999998</v>
      </c>
    </row>
    <row r="431" spans="1:11" x14ac:dyDescent="0.35">
      <c r="A431"/>
      <c r="E431" s="2">
        <v>43787</v>
      </c>
      <c r="F431" s="3" t="s">
        <v>557</v>
      </c>
      <c r="G431" s="3" t="s">
        <v>10</v>
      </c>
      <c r="H431" s="3" t="s">
        <v>49</v>
      </c>
      <c r="I431" s="3" t="s">
        <v>54</v>
      </c>
      <c r="J431" s="3" t="s">
        <v>63</v>
      </c>
      <c r="K431" s="3">
        <v>2504.7399999999998</v>
      </c>
    </row>
    <row r="432" spans="1:11" x14ac:dyDescent="0.35">
      <c r="A432"/>
      <c r="E432" s="2">
        <v>43789</v>
      </c>
      <c r="F432" s="3" t="s">
        <v>558</v>
      </c>
      <c r="G432" s="3" t="s">
        <v>44</v>
      </c>
      <c r="H432" s="3" t="s">
        <v>11</v>
      </c>
      <c r="I432" s="3" t="s">
        <v>38</v>
      </c>
      <c r="J432" s="3" t="s">
        <v>339</v>
      </c>
      <c r="K432" s="3">
        <v>8.6199999999999992</v>
      </c>
    </row>
    <row r="433" spans="1:11" x14ac:dyDescent="0.35">
      <c r="A433"/>
      <c r="E433" s="2">
        <v>43792</v>
      </c>
      <c r="F433" s="3" t="s">
        <v>559</v>
      </c>
      <c r="G433" s="3" t="s">
        <v>10</v>
      </c>
      <c r="H433" s="3" t="s">
        <v>16</v>
      </c>
      <c r="I433" s="3" t="s">
        <v>23</v>
      </c>
      <c r="J433" s="3" t="s">
        <v>560</v>
      </c>
      <c r="K433" s="3">
        <v>13.762</v>
      </c>
    </row>
    <row r="434" spans="1:11" x14ac:dyDescent="0.35">
      <c r="A434"/>
      <c r="E434" s="2">
        <v>43793</v>
      </c>
      <c r="F434" s="3" t="s">
        <v>561</v>
      </c>
      <c r="G434" s="3" t="s">
        <v>15</v>
      </c>
      <c r="H434" s="3" t="s">
        <v>16</v>
      </c>
      <c r="I434" s="3" t="s">
        <v>23</v>
      </c>
      <c r="J434" s="3" t="s">
        <v>26</v>
      </c>
      <c r="K434" s="3">
        <v>67.84</v>
      </c>
    </row>
    <row r="435" spans="1:11" x14ac:dyDescent="0.35">
      <c r="A435"/>
      <c r="E435" s="2">
        <v>43794</v>
      </c>
      <c r="F435" s="3" t="s">
        <v>562</v>
      </c>
      <c r="G435" s="3" t="s">
        <v>10</v>
      </c>
      <c r="H435" s="3" t="s">
        <v>49</v>
      </c>
      <c r="I435" s="3" t="s">
        <v>50</v>
      </c>
      <c r="J435" s="3" t="s">
        <v>51</v>
      </c>
      <c r="K435" s="3">
        <v>52.271999999999998</v>
      </c>
    </row>
    <row r="436" spans="1:11" x14ac:dyDescent="0.35">
      <c r="A436"/>
      <c r="E436" s="2">
        <v>43794</v>
      </c>
      <c r="F436" s="3" t="s">
        <v>562</v>
      </c>
      <c r="G436" s="3" t="s">
        <v>10</v>
      </c>
      <c r="H436" s="3" t="s">
        <v>49</v>
      </c>
      <c r="I436" s="3" t="s">
        <v>50</v>
      </c>
      <c r="J436" s="3" t="s">
        <v>51</v>
      </c>
      <c r="K436" s="3">
        <v>213.136</v>
      </c>
    </row>
    <row r="437" spans="1:11" x14ac:dyDescent="0.35">
      <c r="A437"/>
      <c r="E437" s="2">
        <v>43794</v>
      </c>
      <c r="F437" s="3" t="s">
        <v>59</v>
      </c>
      <c r="G437" s="3" t="s">
        <v>44</v>
      </c>
      <c r="H437" s="3" t="s">
        <v>49</v>
      </c>
      <c r="I437" s="3" t="s">
        <v>54</v>
      </c>
      <c r="J437" s="3" t="s">
        <v>63</v>
      </c>
      <c r="K437" s="3">
        <v>58.73</v>
      </c>
    </row>
    <row r="438" spans="1:11" x14ac:dyDescent="0.35">
      <c r="A438"/>
      <c r="E438" s="2">
        <v>43795</v>
      </c>
      <c r="F438" s="3" t="s">
        <v>563</v>
      </c>
      <c r="G438" s="3" t="s">
        <v>15</v>
      </c>
      <c r="H438" s="3" t="s">
        <v>28</v>
      </c>
      <c r="I438" s="3" t="s">
        <v>90</v>
      </c>
      <c r="J438" s="3" t="s">
        <v>564</v>
      </c>
      <c r="K438" s="3">
        <v>43.584000000000003</v>
      </c>
    </row>
    <row r="439" spans="1:11" x14ac:dyDescent="0.35">
      <c r="A439"/>
      <c r="E439" s="2">
        <v>43798</v>
      </c>
      <c r="F439" s="3" t="s">
        <v>565</v>
      </c>
      <c r="G439" s="3" t="s">
        <v>44</v>
      </c>
      <c r="H439" s="3" t="s">
        <v>49</v>
      </c>
      <c r="I439" s="3" t="s">
        <v>50</v>
      </c>
      <c r="J439" s="3" t="s">
        <v>205</v>
      </c>
      <c r="K439" s="3">
        <v>663.93600000000004</v>
      </c>
    </row>
    <row r="440" spans="1:11" x14ac:dyDescent="0.35">
      <c r="A440"/>
      <c r="E440" s="2">
        <v>43799</v>
      </c>
      <c r="F440" s="3" t="s">
        <v>566</v>
      </c>
      <c r="G440" s="3" t="s">
        <v>15</v>
      </c>
      <c r="H440" s="3" t="s">
        <v>11</v>
      </c>
      <c r="I440" s="3" t="s">
        <v>81</v>
      </c>
      <c r="J440" s="3" t="s">
        <v>93</v>
      </c>
      <c r="K440" s="3">
        <v>31.152000000000001</v>
      </c>
    </row>
    <row r="441" spans="1:11" x14ac:dyDescent="0.35">
      <c r="A441"/>
      <c r="E441" s="2">
        <v>43800</v>
      </c>
      <c r="F441" s="3" t="s">
        <v>567</v>
      </c>
      <c r="G441" s="3" t="s">
        <v>15</v>
      </c>
      <c r="H441" s="3" t="s">
        <v>16</v>
      </c>
      <c r="I441" s="3" t="s">
        <v>23</v>
      </c>
      <c r="J441" s="3" t="s">
        <v>26</v>
      </c>
      <c r="K441" s="3">
        <v>294.62</v>
      </c>
    </row>
    <row r="442" spans="1:11" x14ac:dyDescent="0.35">
      <c r="A442"/>
      <c r="E442" s="2">
        <v>43800</v>
      </c>
      <c r="F442" s="3" t="s">
        <v>568</v>
      </c>
      <c r="G442" s="3" t="s">
        <v>10</v>
      </c>
      <c r="H442" s="3" t="s">
        <v>11</v>
      </c>
      <c r="I442" s="3" t="s">
        <v>38</v>
      </c>
      <c r="J442" s="3" t="s">
        <v>45</v>
      </c>
      <c r="K442" s="3">
        <v>79.47</v>
      </c>
    </row>
    <row r="443" spans="1:11" x14ac:dyDescent="0.35">
      <c r="A443"/>
      <c r="E443" s="2">
        <v>43800</v>
      </c>
      <c r="F443" s="3" t="s">
        <v>569</v>
      </c>
      <c r="G443" s="3" t="s">
        <v>15</v>
      </c>
      <c r="H443" s="3" t="s">
        <v>49</v>
      </c>
      <c r="I443" s="3" t="s">
        <v>60</v>
      </c>
      <c r="J443" s="3" t="s">
        <v>570</v>
      </c>
      <c r="K443" s="3">
        <v>286.86</v>
      </c>
    </row>
    <row r="444" spans="1:11" x14ac:dyDescent="0.35">
      <c r="A444"/>
      <c r="E444" s="2">
        <v>43801</v>
      </c>
      <c r="F444" s="3" t="s">
        <v>164</v>
      </c>
      <c r="G444" s="3" t="s">
        <v>15</v>
      </c>
      <c r="H444" s="3" t="s">
        <v>28</v>
      </c>
      <c r="I444" s="3" t="s">
        <v>90</v>
      </c>
      <c r="J444" s="3" t="s">
        <v>299</v>
      </c>
      <c r="K444" s="3">
        <v>45.216000000000001</v>
      </c>
    </row>
    <row r="445" spans="1:11" x14ac:dyDescent="0.35">
      <c r="A445"/>
      <c r="E445" s="2">
        <v>43803</v>
      </c>
      <c r="F445" s="3" t="s">
        <v>571</v>
      </c>
      <c r="G445" s="3" t="s">
        <v>15</v>
      </c>
      <c r="H445" s="3" t="s">
        <v>16</v>
      </c>
      <c r="I445" s="3" t="s">
        <v>172</v>
      </c>
      <c r="J445" s="3" t="s">
        <v>51</v>
      </c>
      <c r="K445" s="3">
        <v>61.44</v>
      </c>
    </row>
    <row r="446" spans="1:11" x14ac:dyDescent="0.35">
      <c r="A446"/>
      <c r="E446" s="2">
        <v>43803</v>
      </c>
      <c r="F446" s="3" t="s">
        <v>572</v>
      </c>
      <c r="G446" s="3" t="s">
        <v>10</v>
      </c>
      <c r="H446" s="3" t="s">
        <v>49</v>
      </c>
      <c r="I446" s="3" t="s">
        <v>54</v>
      </c>
      <c r="J446" s="3" t="s">
        <v>63</v>
      </c>
      <c r="K446" s="3">
        <v>254.9</v>
      </c>
    </row>
    <row r="447" spans="1:11" x14ac:dyDescent="0.35">
      <c r="A447"/>
      <c r="E447" s="2">
        <v>43805</v>
      </c>
      <c r="F447" s="3" t="s">
        <v>72</v>
      </c>
      <c r="G447" s="3" t="s">
        <v>15</v>
      </c>
      <c r="H447" s="3" t="s">
        <v>28</v>
      </c>
      <c r="I447" s="3" t="s">
        <v>35</v>
      </c>
      <c r="J447" s="3" t="s">
        <v>573</v>
      </c>
      <c r="K447" s="3">
        <v>320.64</v>
      </c>
    </row>
    <row r="448" spans="1:11" x14ac:dyDescent="0.35">
      <c r="A448"/>
      <c r="E448" s="2">
        <v>43806</v>
      </c>
      <c r="F448" s="3" t="s">
        <v>574</v>
      </c>
      <c r="G448" s="3" t="s">
        <v>10</v>
      </c>
      <c r="H448" s="3" t="s">
        <v>11</v>
      </c>
      <c r="I448" s="3" t="s">
        <v>38</v>
      </c>
      <c r="J448" s="3" t="s">
        <v>39</v>
      </c>
      <c r="K448" s="3">
        <v>69.48</v>
      </c>
    </row>
    <row r="449" spans="1:11" x14ac:dyDescent="0.35">
      <c r="A449"/>
      <c r="E449" s="2">
        <v>43806</v>
      </c>
      <c r="F449" s="3" t="s">
        <v>575</v>
      </c>
      <c r="G449" s="3" t="s">
        <v>15</v>
      </c>
      <c r="H449" s="3" t="s">
        <v>16</v>
      </c>
      <c r="I449" s="3" t="s">
        <v>151</v>
      </c>
      <c r="J449" s="3" t="s">
        <v>576</v>
      </c>
      <c r="K449" s="3">
        <v>1089.75</v>
      </c>
    </row>
    <row r="450" spans="1:11" x14ac:dyDescent="0.35">
      <c r="A450"/>
      <c r="E450" s="2">
        <v>43807</v>
      </c>
      <c r="F450" s="3" t="s">
        <v>577</v>
      </c>
      <c r="G450" s="3" t="s">
        <v>44</v>
      </c>
      <c r="H450" s="3" t="s">
        <v>11</v>
      </c>
      <c r="I450" s="3" t="s">
        <v>38</v>
      </c>
      <c r="J450" s="3" t="s">
        <v>45</v>
      </c>
      <c r="K450" s="3">
        <v>189</v>
      </c>
    </row>
    <row r="451" spans="1:11" x14ac:dyDescent="0.35">
      <c r="A451"/>
      <c r="E451" s="2">
        <v>43807</v>
      </c>
      <c r="F451" s="3" t="s">
        <v>431</v>
      </c>
      <c r="G451" s="3" t="s">
        <v>15</v>
      </c>
      <c r="H451" s="3" t="s">
        <v>28</v>
      </c>
      <c r="I451" s="3" t="s">
        <v>29</v>
      </c>
      <c r="J451" s="3" t="s">
        <v>30</v>
      </c>
      <c r="K451" s="3">
        <v>214.9</v>
      </c>
    </row>
    <row r="452" spans="1:11" x14ac:dyDescent="0.35">
      <c r="A452"/>
      <c r="E452" s="2">
        <v>43808</v>
      </c>
      <c r="F452" s="3" t="s">
        <v>578</v>
      </c>
      <c r="G452" s="3" t="s">
        <v>15</v>
      </c>
      <c r="H452" s="3" t="s">
        <v>49</v>
      </c>
      <c r="I452" s="3" t="s">
        <v>100</v>
      </c>
      <c r="J452" s="3" t="s">
        <v>139</v>
      </c>
      <c r="K452" s="3">
        <v>426.79</v>
      </c>
    </row>
    <row r="453" spans="1:11" x14ac:dyDescent="0.35">
      <c r="A453"/>
      <c r="E453" s="2">
        <v>43809</v>
      </c>
      <c r="F453" s="3" t="s">
        <v>579</v>
      </c>
      <c r="G453" s="3" t="s">
        <v>15</v>
      </c>
      <c r="H453" s="3" t="s">
        <v>16</v>
      </c>
      <c r="I453" s="3" t="s">
        <v>23</v>
      </c>
      <c r="J453" s="3" t="s">
        <v>580</v>
      </c>
      <c r="K453" s="3">
        <v>1.3919999999999999</v>
      </c>
    </row>
    <row r="454" spans="1:11" x14ac:dyDescent="0.35">
      <c r="A454"/>
      <c r="E454" s="2">
        <v>43813</v>
      </c>
      <c r="F454" s="3" t="s">
        <v>581</v>
      </c>
      <c r="G454" s="3" t="s">
        <v>15</v>
      </c>
      <c r="H454" s="3" t="s">
        <v>11</v>
      </c>
      <c r="I454" s="3" t="s">
        <v>38</v>
      </c>
      <c r="J454" s="3" t="s">
        <v>511</v>
      </c>
      <c r="K454" s="3">
        <v>54.32</v>
      </c>
    </row>
    <row r="455" spans="1:11" x14ac:dyDescent="0.35">
      <c r="A455"/>
      <c r="E455" s="2">
        <v>43815</v>
      </c>
      <c r="F455" s="3" t="s">
        <v>582</v>
      </c>
      <c r="G455" s="3" t="s">
        <v>15</v>
      </c>
      <c r="H455" s="3" t="s">
        <v>16</v>
      </c>
      <c r="I455" s="3" t="s">
        <v>23</v>
      </c>
      <c r="J455" s="3" t="s">
        <v>24</v>
      </c>
      <c r="K455" s="3">
        <v>66.284000000000006</v>
      </c>
    </row>
    <row r="456" spans="1:11" x14ac:dyDescent="0.35">
      <c r="A456"/>
      <c r="E456" s="2">
        <v>43816</v>
      </c>
      <c r="F456" s="3" t="s">
        <v>583</v>
      </c>
      <c r="G456" s="3" t="s">
        <v>15</v>
      </c>
      <c r="H456" s="3" t="s">
        <v>49</v>
      </c>
      <c r="I456" s="3" t="s">
        <v>54</v>
      </c>
      <c r="J456" s="3" t="s">
        <v>63</v>
      </c>
      <c r="K456" s="3">
        <v>1704.56</v>
      </c>
    </row>
    <row r="457" spans="1:11" x14ac:dyDescent="0.35">
      <c r="A457"/>
      <c r="E457" s="2">
        <v>43816</v>
      </c>
      <c r="F457" s="3" t="s">
        <v>584</v>
      </c>
      <c r="G457" s="3" t="s">
        <v>15</v>
      </c>
      <c r="H457" s="3" t="s">
        <v>49</v>
      </c>
      <c r="I457" s="3" t="s">
        <v>50</v>
      </c>
      <c r="J457" s="3" t="s">
        <v>51</v>
      </c>
      <c r="K457" s="3">
        <v>130.11199999999999</v>
      </c>
    </row>
    <row r="458" spans="1:11" x14ac:dyDescent="0.35">
      <c r="A458"/>
      <c r="E458" s="2">
        <v>43820</v>
      </c>
      <c r="F458" s="3" t="s">
        <v>585</v>
      </c>
      <c r="G458" s="3" t="s">
        <v>15</v>
      </c>
      <c r="H458" s="3" t="s">
        <v>16</v>
      </c>
      <c r="I458" s="3" t="s">
        <v>320</v>
      </c>
      <c r="J458" s="3" t="s">
        <v>586</v>
      </c>
      <c r="K458" s="3">
        <v>839.43</v>
      </c>
    </row>
    <row r="459" spans="1:11" x14ac:dyDescent="0.35">
      <c r="A459"/>
      <c r="E459" s="2">
        <v>43820</v>
      </c>
      <c r="F459" s="3" t="s">
        <v>469</v>
      </c>
      <c r="G459" s="3" t="s">
        <v>15</v>
      </c>
      <c r="H459" s="3" t="s">
        <v>28</v>
      </c>
      <c r="I459" s="3" t="s">
        <v>136</v>
      </c>
      <c r="J459" s="3" t="s">
        <v>36</v>
      </c>
      <c r="K459" s="3">
        <v>59.24</v>
      </c>
    </row>
    <row r="460" spans="1:11" x14ac:dyDescent="0.35">
      <c r="A460"/>
      <c r="E460" s="2">
        <v>43821</v>
      </c>
      <c r="F460" s="3" t="s">
        <v>587</v>
      </c>
      <c r="G460" s="3" t="s">
        <v>15</v>
      </c>
      <c r="H460" s="3" t="s">
        <v>16</v>
      </c>
      <c r="I460" s="3" t="s">
        <v>23</v>
      </c>
      <c r="J460" s="3" t="s">
        <v>588</v>
      </c>
      <c r="K460" s="3">
        <v>29.312000000000001</v>
      </c>
    </row>
    <row r="461" spans="1:11" x14ac:dyDescent="0.35">
      <c r="A461"/>
      <c r="E461" s="2">
        <v>43822</v>
      </c>
      <c r="F461" s="3" t="s">
        <v>315</v>
      </c>
      <c r="G461" s="3" t="s">
        <v>15</v>
      </c>
      <c r="H461" s="3" t="s">
        <v>49</v>
      </c>
      <c r="I461" s="3" t="s">
        <v>54</v>
      </c>
      <c r="J461" s="3" t="s">
        <v>63</v>
      </c>
      <c r="K461" s="3">
        <v>35.909999999999997</v>
      </c>
    </row>
    <row r="462" spans="1:11" x14ac:dyDescent="0.35">
      <c r="A462"/>
      <c r="E462" s="2">
        <v>43828</v>
      </c>
      <c r="F462" s="3" t="s">
        <v>589</v>
      </c>
      <c r="G462" s="3" t="s">
        <v>44</v>
      </c>
      <c r="H462" s="3" t="s">
        <v>16</v>
      </c>
      <c r="I462" s="3" t="s">
        <v>172</v>
      </c>
      <c r="J462" s="3" t="s">
        <v>51</v>
      </c>
      <c r="K462" s="3">
        <v>209.3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A27E-6172-46D2-9907-957DED3704E8}">
  <sheetPr codeName="Sheet5"/>
  <dimension ref="A1:I462"/>
  <sheetViews>
    <sheetView zoomScale="90" zoomScaleNormal="90" workbookViewId="0">
      <selection activeCell="M12" sqref="M12"/>
    </sheetView>
  </sheetViews>
  <sheetFormatPr defaultColWidth="14.7265625" defaultRowHeight="14.5" x14ac:dyDescent="0.35"/>
  <cols>
    <col min="1" max="5" width="14.7265625" style="3"/>
    <col min="6" max="6" width="17.54296875" style="3" bestFit="1" customWidth="1"/>
    <col min="7" max="16384" width="14.7265625" style="3"/>
  </cols>
  <sheetData>
    <row r="1" spans="1:9" x14ac:dyDescent="0.35">
      <c r="A1" s="7" t="s">
        <v>596</v>
      </c>
      <c r="E1" s="1" t="s">
        <v>5</v>
      </c>
      <c r="F1" t="s">
        <v>0</v>
      </c>
      <c r="G1" s="7"/>
    </row>
    <row r="3" spans="1:9" x14ac:dyDescent="0.35">
      <c r="A3" s="8" t="s">
        <v>595</v>
      </c>
      <c r="E3" s="1" t="s">
        <v>6</v>
      </c>
      <c r="F3" s="1" t="s">
        <v>7</v>
      </c>
      <c r="G3"/>
      <c r="H3"/>
      <c r="I3"/>
    </row>
    <row r="4" spans="1:9" x14ac:dyDescent="0.35">
      <c r="A4" s="3" t="s">
        <v>16</v>
      </c>
      <c r="E4" t="s">
        <v>334</v>
      </c>
      <c r="F4" t="s">
        <v>335</v>
      </c>
      <c r="G4"/>
      <c r="H4"/>
      <c r="I4"/>
    </row>
    <row r="5" spans="1:9" x14ac:dyDescent="0.35">
      <c r="A5" s="3" t="s">
        <v>49</v>
      </c>
      <c r="E5" t="s">
        <v>220</v>
      </c>
      <c r="F5" t="s">
        <v>248</v>
      </c>
      <c r="G5"/>
      <c r="H5"/>
      <c r="I5"/>
    </row>
    <row r="6" spans="1:9" x14ac:dyDescent="0.35">
      <c r="A6" s="3" t="s">
        <v>28</v>
      </c>
      <c r="E6" t="s">
        <v>220</v>
      </c>
      <c r="F6" t="s">
        <v>221</v>
      </c>
      <c r="G6"/>
      <c r="H6"/>
      <c r="I6"/>
    </row>
    <row r="7" spans="1:9" x14ac:dyDescent="0.35">
      <c r="A7" s="3" t="s">
        <v>11</v>
      </c>
      <c r="E7" t="s">
        <v>220</v>
      </c>
      <c r="F7" t="s">
        <v>307</v>
      </c>
      <c r="G7"/>
      <c r="H7"/>
      <c r="I7"/>
    </row>
    <row r="8" spans="1:9" x14ac:dyDescent="0.35">
      <c r="A8"/>
      <c r="E8" t="s">
        <v>220</v>
      </c>
      <c r="F8" t="s">
        <v>313</v>
      </c>
      <c r="G8"/>
      <c r="H8"/>
      <c r="I8"/>
    </row>
    <row r="9" spans="1:9" x14ac:dyDescent="0.35">
      <c r="A9"/>
      <c r="E9" t="s">
        <v>38</v>
      </c>
      <c r="F9" t="s">
        <v>412</v>
      </c>
      <c r="G9"/>
      <c r="H9"/>
      <c r="I9"/>
    </row>
    <row r="10" spans="1:9" x14ac:dyDescent="0.35">
      <c r="A10"/>
      <c r="E10" t="s">
        <v>38</v>
      </c>
      <c r="F10" t="s">
        <v>527</v>
      </c>
      <c r="G10"/>
      <c r="H10"/>
      <c r="I10"/>
    </row>
    <row r="11" spans="1:9" x14ac:dyDescent="0.35">
      <c r="A11"/>
      <c r="E11" t="s">
        <v>38</v>
      </c>
      <c r="F11" t="s">
        <v>160</v>
      </c>
      <c r="G11"/>
      <c r="H11"/>
      <c r="I11"/>
    </row>
    <row r="12" spans="1:9" x14ac:dyDescent="0.35">
      <c r="A12"/>
      <c r="E12" t="s">
        <v>38</v>
      </c>
      <c r="F12" t="s">
        <v>531</v>
      </c>
      <c r="G12"/>
      <c r="H12"/>
      <c r="I12"/>
    </row>
    <row r="13" spans="1:9" x14ac:dyDescent="0.35">
      <c r="A13"/>
      <c r="E13" t="s">
        <v>38</v>
      </c>
      <c r="F13" t="s">
        <v>162</v>
      </c>
      <c r="G13"/>
      <c r="H13"/>
      <c r="I13"/>
    </row>
    <row r="14" spans="1:9" x14ac:dyDescent="0.35">
      <c r="A14"/>
      <c r="E14" t="s">
        <v>38</v>
      </c>
      <c r="F14" t="s">
        <v>511</v>
      </c>
      <c r="G14"/>
      <c r="H14"/>
      <c r="I14"/>
    </row>
    <row r="15" spans="1:9" x14ac:dyDescent="0.35">
      <c r="A15"/>
      <c r="E15" t="s">
        <v>38</v>
      </c>
      <c r="F15" t="s">
        <v>501</v>
      </c>
      <c r="G15"/>
      <c r="H15"/>
      <c r="I15"/>
    </row>
    <row r="16" spans="1:9" x14ac:dyDescent="0.35">
      <c r="A16"/>
      <c r="E16" t="s">
        <v>38</v>
      </c>
      <c r="F16" t="s">
        <v>45</v>
      </c>
      <c r="G16"/>
      <c r="H16"/>
      <c r="I16"/>
    </row>
    <row r="17" spans="1:9" x14ac:dyDescent="0.35">
      <c r="A17"/>
      <c r="E17" t="s">
        <v>38</v>
      </c>
      <c r="F17" t="s">
        <v>324</v>
      </c>
      <c r="G17"/>
      <c r="H17"/>
      <c r="I17"/>
    </row>
    <row r="18" spans="1:9" x14ac:dyDescent="0.35">
      <c r="A18"/>
      <c r="E18" t="s">
        <v>38</v>
      </c>
      <c r="F18" t="s">
        <v>178</v>
      </c>
      <c r="G18"/>
      <c r="H18"/>
      <c r="I18"/>
    </row>
    <row r="19" spans="1:9" x14ac:dyDescent="0.35">
      <c r="A19"/>
      <c r="E19" t="s">
        <v>38</v>
      </c>
      <c r="F19" t="s">
        <v>507</v>
      </c>
      <c r="G19"/>
      <c r="H19"/>
      <c r="I19"/>
    </row>
    <row r="20" spans="1:9" x14ac:dyDescent="0.35">
      <c r="A20"/>
      <c r="E20" t="s">
        <v>38</v>
      </c>
      <c r="F20" t="s">
        <v>339</v>
      </c>
      <c r="G20"/>
      <c r="H20"/>
      <c r="I20"/>
    </row>
    <row r="21" spans="1:9" x14ac:dyDescent="0.35">
      <c r="A21"/>
      <c r="E21" t="s">
        <v>38</v>
      </c>
      <c r="F21" t="s">
        <v>471</v>
      </c>
      <c r="G21"/>
      <c r="H21"/>
      <c r="I21"/>
    </row>
    <row r="22" spans="1:9" x14ac:dyDescent="0.35">
      <c r="A22"/>
      <c r="E22" t="s">
        <v>38</v>
      </c>
      <c r="F22" t="s">
        <v>286</v>
      </c>
      <c r="G22"/>
      <c r="H22"/>
      <c r="I22"/>
    </row>
    <row r="23" spans="1:9" x14ac:dyDescent="0.35">
      <c r="A23"/>
      <c r="E23" t="s">
        <v>38</v>
      </c>
      <c r="F23" t="s">
        <v>103</v>
      </c>
      <c r="G23"/>
      <c r="H23"/>
      <c r="I23"/>
    </row>
    <row r="24" spans="1:9" x14ac:dyDescent="0.35">
      <c r="A24"/>
      <c r="E24" t="s">
        <v>38</v>
      </c>
      <c r="F24" t="s">
        <v>39</v>
      </c>
      <c r="G24"/>
      <c r="H24"/>
      <c r="I24"/>
    </row>
    <row r="25" spans="1:9" x14ac:dyDescent="0.35">
      <c r="A25"/>
      <c r="E25" t="s">
        <v>38</v>
      </c>
      <c r="F25" t="s">
        <v>47</v>
      </c>
      <c r="G25"/>
      <c r="H25"/>
      <c r="I25"/>
    </row>
    <row r="26" spans="1:9" x14ac:dyDescent="0.35">
      <c r="A26"/>
      <c r="E26" t="s">
        <v>38</v>
      </c>
      <c r="F26" t="s">
        <v>373</v>
      </c>
      <c r="G26"/>
      <c r="H26"/>
      <c r="I26"/>
    </row>
    <row r="27" spans="1:9" x14ac:dyDescent="0.35">
      <c r="A27"/>
      <c r="E27" t="s">
        <v>38</v>
      </c>
      <c r="F27" t="s">
        <v>444</v>
      </c>
      <c r="G27"/>
      <c r="H27"/>
      <c r="I27"/>
    </row>
    <row r="28" spans="1:9" x14ac:dyDescent="0.35">
      <c r="A28"/>
      <c r="E28" t="s">
        <v>38</v>
      </c>
      <c r="F28" t="s">
        <v>332</v>
      </c>
      <c r="G28"/>
      <c r="H28"/>
      <c r="I28"/>
    </row>
    <row r="29" spans="1:9" x14ac:dyDescent="0.35">
      <c r="A29"/>
      <c r="E29" t="s">
        <v>38</v>
      </c>
      <c r="F29" t="s">
        <v>435</v>
      </c>
      <c r="G29"/>
      <c r="H29"/>
      <c r="I29"/>
    </row>
    <row r="30" spans="1:9" x14ac:dyDescent="0.35">
      <c r="A30"/>
      <c r="E30" t="s">
        <v>38</v>
      </c>
      <c r="F30" t="s">
        <v>500</v>
      </c>
      <c r="G30"/>
      <c r="H30"/>
      <c r="I30"/>
    </row>
    <row r="31" spans="1:9" x14ac:dyDescent="0.35">
      <c r="A31"/>
      <c r="E31" t="s">
        <v>81</v>
      </c>
      <c r="F31" t="s">
        <v>82</v>
      </c>
      <c r="G31"/>
      <c r="H31"/>
      <c r="I31"/>
    </row>
    <row r="32" spans="1:9" x14ac:dyDescent="0.35">
      <c r="A32"/>
      <c r="E32" t="s">
        <v>81</v>
      </c>
      <c r="F32" t="s">
        <v>292</v>
      </c>
      <c r="G32"/>
      <c r="H32"/>
      <c r="I32"/>
    </row>
    <row r="33" spans="1:9" x14ac:dyDescent="0.35">
      <c r="A33"/>
      <c r="E33" t="s">
        <v>81</v>
      </c>
      <c r="F33" t="s">
        <v>93</v>
      </c>
      <c r="G33"/>
      <c r="H33"/>
      <c r="I33"/>
    </row>
    <row r="34" spans="1:9" x14ac:dyDescent="0.35">
      <c r="A34"/>
      <c r="E34" t="s">
        <v>81</v>
      </c>
      <c r="F34" t="s">
        <v>224</v>
      </c>
      <c r="G34"/>
      <c r="H34"/>
      <c r="I34"/>
    </row>
    <row r="35" spans="1:9" x14ac:dyDescent="0.35">
      <c r="A35"/>
      <c r="E35" t="s">
        <v>100</v>
      </c>
      <c r="F35" t="s">
        <v>239</v>
      </c>
      <c r="G35"/>
      <c r="H35"/>
      <c r="I35"/>
    </row>
    <row r="36" spans="1:9" x14ac:dyDescent="0.35">
      <c r="A36"/>
      <c r="E36" t="s">
        <v>100</v>
      </c>
      <c r="F36" t="s">
        <v>139</v>
      </c>
      <c r="G36"/>
      <c r="H36"/>
      <c r="I36"/>
    </row>
    <row r="37" spans="1:9" x14ac:dyDescent="0.35">
      <c r="A37"/>
      <c r="E37" t="s">
        <v>100</v>
      </c>
      <c r="F37" t="s">
        <v>101</v>
      </c>
      <c r="G37"/>
      <c r="H37"/>
      <c r="I37"/>
    </row>
    <row r="38" spans="1:9" x14ac:dyDescent="0.35">
      <c r="A38"/>
      <c r="E38" t="s">
        <v>100</v>
      </c>
      <c r="F38" t="s">
        <v>200</v>
      </c>
      <c r="G38"/>
      <c r="H38"/>
      <c r="I38"/>
    </row>
    <row r="39" spans="1:9" x14ac:dyDescent="0.35">
      <c r="A39"/>
      <c r="E39" t="s">
        <v>84</v>
      </c>
      <c r="F39" t="s">
        <v>85</v>
      </c>
      <c r="G39"/>
      <c r="H39"/>
      <c r="I39"/>
    </row>
    <row r="40" spans="1:9" x14ac:dyDescent="0.35">
      <c r="A40"/>
      <c r="E40" t="s">
        <v>107</v>
      </c>
      <c r="F40" t="s">
        <v>389</v>
      </c>
      <c r="G40"/>
      <c r="H40"/>
      <c r="I40"/>
    </row>
    <row r="41" spans="1:9" x14ac:dyDescent="0.35">
      <c r="A41"/>
      <c r="E41" t="s">
        <v>107</v>
      </c>
      <c r="F41" t="s">
        <v>192</v>
      </c>
      <c r="G41"/>
      <c r="H41"/>
      <c r="I41"/>
    </row>
    <row r="42" spans="1:9" x14ac:dyDescent="0.35">
      <c r="A42"/>
      <c r="E42" t="s">
        <v>107</v>
      </c>
      <c r="F42" t="s">
        <v>550</v>
      </c>
      <c r="G42"/>
      <c r="H42"/>
      <c r="I42"/>
    </row>
    <row r="43" spans="1:9" x14ac:dyDescent="0.35">
      <c r="A43"/>
      <c r="E43" t="s">
        <v>107</v>
      </c>
      <c r="F43" t="s">
        <v>400</v>
      </c>
      <c r="G43"/>
      <c r="H43"/>
      <c r="I43"/>
    </row>
    <row r="44" spans="1:9" x14ac:dyDescent="0.35">
      <c r="A44"/>
      <c r="E44" t="s">
        <v>107</v>
      </c>
      <c r="F44" t="s">
        <v>110</v>
      </c>
      <c r="G44"/>
      <c r="H44"/>
      <c r="I44"/>
    </row>
    <row r="45" spans="1:9" x14ac:dyDescent="0.35">
      <c r="A45"/>
      <c r="E45" t="s">
        <v>107</v>
      </c>
      <c r="F45" t="s">
        <v>190</v>
      </c>
      <c r="G45"/>
      <c r="H45"/>
      <c r="I45"/>
    </row>
    <row r="46" spans="1:9" x14ac:dyDescent="0.35">
      <c r="A46"/>
      <c r="E46" t="s">
        <v>107</v>
      </c>
      <c r="F46" t="s">
        <v>108</v>
      </c>
      <c r="G46"/>
      <c r="H46"/>
      <c r="I46"/>
    </row>
    <row r="47" spans="1:9" x14ac:dyDescent="0.35">
      <c r="A47"/>
      <c r="E47" t="s">
        <v>107</v>
      </c>
      <c r="F47" t="s">
        <v>556</v>
      </c>
      <c r="G47"/>
      <c r="H47"/>
      <c r="I47"/>
    </row>
    <row r="48" spans="1:9" x14ac:dyDescent="0.35">
      <c r="A48"/>
      <c r="E48" t="s">
        <v>107</v>
      </c>
      <c r="F48" t="s">
        <v>485</v>
      </c>
      <c r="G48"/>
      <c r="H48"/>
      <c r="I48"/>
    </row>
    <row r="49" spans="1:9" x14ac:dyDescent="0.35">
      <c r="A49"/>
      <c r="E49" t="s">
        <v>107</v>
      </c>
      <c r="F49" t="s">
        <v>458</v>
      </c>
      <c r="G49"/>
      <c r="H49"/>
      <c r="I49"/>
    </row>
    <row r="50" spans="1:9" x14ac:dyDescent="0.35">
      <c r="A50"/>
      <c r="E50" t="s">
        <v>107</v>
      </c>
      <c r="F50" t="s">
        <v>513</v>
      </c>
      <c r="G50"/>
      <c r="H50"/>
      <c r="I50"/>
    </row>
    <row r="51" spans="1:9" x14ac:dyDescent="0.35">
      <c r="A51"/>
      <c r="E51" t="s">
        <v>107</v>
      </c>
      <c r="F51" t="s">
        <v>509</v>
      </c>
      <c r="G51"/>
      <c r="H51"/>
      <c r="I51"/>
    </row>
    <row r="52" spans="1:9" x14ac:dyDescent="0.35">
      <c r="A52"/>
      <c r="E52" t="s">
        <v>107</v>
      </c>
      <c r="F52" t="s">
        <v>417</v>
      </c>
      <c r="G52"/>
      <c r="H52"/>
      <c r="I52"/>
    </row>
    <row r="53" spans="1:9" x14ac:dyDescent="0.35">
      <c r="A53"/>
      <c r="E53" t="s">
        <v>107</v>
      </c>
      <c r="F53" t="s">
        <v>124</v>
      </c>
      <c r="G53"/>
      <c r="H53"/>
      <c r="I53"/>
    </row>
    <row r="54" spans="1:9" x14ac:dyDescent="0.35">
      <c r="A54"/>
      <c r="E54" t="s">
        <v>41</v>
      </c>
      <c r="F54" t="s">
        <v>42</v>
      </c>
      <c r="G54"/>
      <c r="H54"/>
      <c r="I54"/>
    </row>
    <row r="55" spans="1:9" x14ac:dyDescent="0.35">
      <c r="A55"/>
      <c r="E55" t="s">
        <v>41</v>
      </c>
      <c r="F55" t="s">
        <v>237</v>
      </c>
      <c r="G55"/>
      <c r="H55"/>
      <c r="I55"/>
    </row>
    <row r="56" spans="1:9" x14ac:dyDescent="0.35">
      <c r="A56"/>
      <c r="E56" t="s">
        <v>41</v>
      </c>
      <c r="F56" t="s">
        <v>51</v>
      </c>
      <c r="G56"/>
      <c r="H56"/>
      <c r="I56"/>
    </row>
    <row r="57" spans="1:9" x14ac:dyDescent="0.35">
      <c r="A57"/>
      <c r="E57" t="s">
        <v>41</v>
      </c>
      <c r="F57" t="s">
        <v>440</v>
      </c>
      <c r="G57"/>
      <c r="H57"/>
      <c r="I57"/>
    </row>
    <row r="58" spans="1:9" x14ac:dyDescent="0.35">
      <c r="A58"/>
      <c r="E58" t="s">
        <v>41</v>
      </c>
      <c r="F58" t="s">
        <v>475</v>
      </c>
      <c r="G58"/>
      <c r="H58"/>
      <c r="I58"/>
    </row>
    <row r="59" spans="1:9" x14ac:dyDescent="0.35">
      <c r="A59"/>
      <c r="E59" t="s">
        <v>533</v>
      </c>
      <c r="F59" t="s">
        <v>534</v>
      </c>
      <c r="G59"/>
      <c r="H59"/>
      <c r="I59"/>
    </row>
    <row r="60" spans="1:9" x14ac:dyDescent="0.35">
      <c r="A60"/>
      <c r="E60" t="s">
        <v>65</v>
      </c>
      <c r="F60" t="s">
        <v>82</v>
      </c>
      <c r="G60"/>
      <c r="H60"/>
      <c r="I60"/>
    </row>
    <row r="61" spans="1:9" x14ac:dyDescent="0.35">
      <c r="A61"/>
      <c r="E61" t="s">
        <v>65</v>
      </c>
      <c r="F61" t="s">
        <v>235</v>
      </c>
      <c r="G61"/>
      <c r="H61"/>
      <c r="I61"/>
    </row>
    <row r="62" spans="1:9" x14ac:dyDescent="0.35">
      <c r="A62"/>
      <c r="E62" t="s">
        <v>65</v>
      </c>
      <c r="F62" t="s">
        <v>66</v>
      </c>
      <c r="G62"/>
      <c r="H62"/>
      <c r="I62"/>
    </row>
    <row r="63" spans="1:9" x14ac:dyDescent="0.35">
      <c r="A63"/>
      <c r="E63" t="s">
        <v>65</v>
      </c>
      <c r="F63" t="s">
        <v>218</v>
      </c>
      <c r="G63"/>
      <c r="H63"/>
      <c r="I63"/>
    </row>
    <row r="64" spans="1:9" x14ac:dyDescent="0.35">
      <c r="A64"/>
      <c r="E64" t="s">
        <v>172</v>
      </c>
      <c r="F64" t="s">
        <v>51</v>
      </c>
      <c r="G64"/>
      <c r="H64"/>
      <c r="I64"/>
    </row>
    <row r="65" spans="1:9" x14ac:dyDescent="0.35">
      <c r="A65"/>
      <c r="E65" t="s">
        <v>172</v>
      </c>
      <c r="F65" t="s">
        <v>396</v>
      </c>
      <c r="G65"/>
      <c r="H65"/>
      <c r="I65"/>
    </row>
    <row r="66" spans="1:9" x14ac:dyDescent="0.35">
      <c r="A66"/>
      <c r="E66" t="s">
        <v>172</v>
      </c>
      <c r="F66" t="s">
        <v>391</v>
      </c>
      <c r="G66"/>
      <c r="H66"/>
      <c r="I66"/>
    </row>
    <row r="67" spans="1:9" x14ac:dyDescent="0.35">
      <c r="A67"/>
      <c r="E67" t="s">
        <v>172</v>
      </c>
      <c r="F67" t="s">
        <v>61</v>
      </c>
      <c r="G67"/>
      <c r="H67"/>
      <c r="I67"/>
    </row>
    <row r="68" spans="1:9" x14ac:dyDescent="0.35">
      <c r="A68"/>
      <c r="E68" t="s">
        <v>172</v>
      </c>
      <c r="F68" t="s">
        <v>188</v>
      </c>
      <c r="G68"/>
      <c r="H68"/>
      <c r="I68"/>
    </row>
    <row r="69" spans="1:9" x14ac:dyDescent="0.35">
      <c r="A69"/>
      <c r="E69" t="s">
        <v>172</v>
      </c>
      <c r="F69" t="s">
        <v>30</v>
      </c>
      <c r="G69"/>
      <c r="H69"/>
      <c r="I69"/>
    </row>
    <row r="70" spans="1:9" x14ac:dyDescent="0.35">
      <c r="A70"/>
      <c r="E70" t="s">
        <v>422</v>
      </c>
      <c r="F70" t="s">
        <v>423</v>
      </c>
      <c r="G70"/>
      <c r="H70"/>
      <c r="I70"/>
    </row>
    <row r="71" spans="1:9" x14ac:dyDescent="0.35">
      <c r="A71"/>
      <c r="E71" t="s">
        <v>29</v>
      </c>
      <c r="F71" t="s">
        <v>489</v>
      </c>
      <c r="G71"/>
      <c r="H71"/>
      <c r="I71"/>
    </row>
    <row r="72" spans="1:9" x14ac:dyDescent="0.35">
      <c r="A72"/>
      <c r="E72" t="s">
        <v>29</v>
      </c>
      <c r="F72" t="s">
        <v>521</v>
      </c>
      <c r="G72"/>
      <c r="H72"/>
      <c r="I72"/>
    </row>
    <row r="73" spans="1:9" x14ac:dyDescent="0.35">
      <c r="A73"/>
      <c r="E73" t="s">
        <v>29</v>
      </c>
      <c r="F73" t="s">
        <v>186</v>
      </c>
      <c r="G73"/>
      <c r="H73"/>
      <c r="I73"/>
    </row>
    <row r="74" spans="1:9" x14ac:dyDescent="0.35">
      <c r="A74"/>
      <c r="E74" t="s">
        <v>29</v>
      </c>
      <c r="F74" t="s">
        <v>480</v>
      </c>
      <c r="G74"/>
      <c r="H74"/>
      <c r="I74"/>
    </row>
    <row r="75" spans="1:9" x14ac:dyDescent="0.35">
      <c r="A75"/>
      <c r="E75" t="s">
        <v>29</v>
      </c>
      <c r="F75" t="s">
        <v>446</v>
      </c>
      <c r="G75"/>
      <c r="H75"/>
      <c r="I75"/>
    </row>
    <row r="76" spans="1:9" x14ac:dyDescent="0.35">
      <c r="A76"/>
      <c r="E76" t="s">
        <v>29</v>
      </c>
      <c r="F76" t="s">
        <v>30</v>
      </c>
      <c r="G76"/>
      <c r="H76"/>
      <c r="I76"/>
    </row>
    <row r="77" spans="1:9" x14ac:dyDescent="0.35">
      <c r="A77"/>
      <c r="E77" t="s">
        <v>355</v>
      </c>
      <c r="F77" t="s">
        <v>356</v>
      </c>
      <c r="G77"/>
      <c r="H77"/>
      <c r="I77"/>
    </row>
    <row r="78" spans="1:9" x14ac:dyDescent="0.35">
      <c r="A78"/>
      <c r="E78" t="s">
        <v>97</v>
      </c>
      <c r="F78" t="s">
        <v>98</v>
      </c>
      <c r="G78"/>
      <c r="H78"/>
      <c r="I78"/>
    </row>
    <row r="79" spans="1:9" x14ac:dyDescent="0.35">
      <c r="A79"/>
      <c r="E79" t="s">
        <v>230</v>
      </c>
      <c r="F79" t="s">
        <v>231</v>
      </c>
      <c r="G79"/>
      <c r="H79"/>
      <c r="I79"/>
    </row>
    <row r="80" spans="1:9" x14ac:dyDescent="0.35">
      <c r="A80"/>
      <c r="E80" t="s">
        <v>230</v>
      </c>
      <c r="F80" t="s">
        <v>296</v>
      </c>
      <c r="G80"/>
      <c r="H80"/>
      <c r="I80"/>
    </row>
    <row r="81" spans="1:9" x14ac:dyDescent="0.35">
      <c r="A81"/>
      <c r="E81" t="s">
        <v>230</v>
      </c>
      <c r="F81" t="s">
        <v>168</v>
      </c>
      <c r="G81"/>
      <c r="H81"/>
      <c r="I81"/>
    </row>
    <row r="82" spans="1:9" x14ac:dyDescent="0.35">
      <c r="A82"/>
      <c r="E82" t="s">
        <v>230</v>
      </c>
      <c r="F82" t="s">
        <v>482</v>
      </c>
      <c r="G82"/>
      <c r="H82"/>
      <c r="I82"/>
    </row>
    <row r="83" spans="1:9" x14ac:dyDescent="0.35">
      <c r="A83"/>
      <c r="E83" t="s">
        <v>60</v>
      </c>
      <c r="F83" t="s">
        <v>180</v>
      </c>
      <c r="G83"/>
      <c r="H83"/>
      <c r="I83"/>
    </row>
    <row r="84" spans="1:9" x14ac:dyDescent="0.35">
      <c r="A84"/>
      <c r="E84" t="s">
        <v>60</v>
      </c>
      <c r="F84" t="s">
        <v>405</v>
      </c>
      <c r="G84"/>
      <c r="H84"/>
      <c r="I84"/>
    </row>
    <row r="85" spans="1:9" x14ac:dyDescent="0.35">
      <c r="A85"/>
      <c r="E85" t="s">
        <v>60</v>
      </c>
      <c r="F85" t="s">
        <v>61</v>
      </c>
      <c r="G85"/>
      <c r="H85"/>
      <c r="I85"/>
    </row>
    <row r="86" spans="1:9" x14ac:dyDescent="0.35">
      <c r="A86"/>
      <c r="E86" t="s">
        <v>60</v>
      </c>
      <c r="F86" t="s">
        <v>570</v>
      </c>
      <c r="G86"/>
      <c r="H86"/>
      <c r="I86"/>
    </row>
    <row r="87" spans="1:9" x14ac:dyDescent="0.35">
      <c r="A87"/>
      <c r="E87" t="s">
        <v>60</v>
      </c>
      <c r="F87" t="s">
        <v>242</v>
      </c>
      <c r="G87"/>
      <c r="H87"/>
      <c r="I87"/>
    </row>
    <row r="88" spans="1:9" x14ac:dyDescent="0.35">
      <c r="A88"/>
      <c r="E88" t="s">
        <v>17</v>
      </c>
      <c r="F88" t="s">
        <v>254</v>
      </c>
      <c r="G88"/>
      <c r="H88"/>
      <c r="I88"/>
    </row>
    <row r="89" spans="1:9" x14ac:dyDescent="0.35">
      <c r="A89"/>
      <c r="E89" t="s">
        <v>17</v>
      </c>
      <c r="F89" t="s">
        <v>281</v>
      </c>
      <c r="G89"/>
      <c r="H89"/>
      <c r="I89"/>
    </row>
    <row r="90" spans="1:9" x14ac:dyDescent="0.35">
      <c r="A90"/>
      <c r="E90" t="s">
        <v>17</v>
      </c>
      <c r="F90" t="s">
        <v>70</v>
      </c>
      <c r="G90"/>
      <c r="H90"/>
      <c r="I90"/>
    </row>
    <row r="91" spans="1:9" x14ac:dyDescent="0.35">
      <c r="A91"/>
      <c r="E91" t="s">
        <v>17</v>
      </c>
      <c r="F91" t="s">
        <v>36</v>
      </c>
      <c r="G91"/>
      <c r="H91"/>
      <c r="I91"/>
    </row>
    <row r="92" spans="1:9" x14ac:dyDescent="0.35">
      <c r="A92"/>
      <c r="E92" t="s">
        <v>17</v>
      </c>
      <c r="F92" t="s">
        <v>196</v>
      </c>
      <c r="G92"/>
      <c r="H92"/>
      <c r="I92"/>
    </row>
    <row r="93" spans="1:9" x14ac:dyDescent="0.35">
      <c r="A93"/>
      <c r="E93" t="s">
        <v>17</v>
      </c>
      <c r="F93" t="s">
        <v>402</v>
      </c>
      <c r="G93"/>
      <c r="H93"/>
      <c r="I93"/>
    </row>
    <row r="94" spans="1:9" x14ac:dyDescent="0.35">
      <c r="A94"/>
      <c r="E94" t="s">
        <v>17</v>
      </c>
      <c r="F94" t="s">
        <v>215</v>
      </c>
      <c r="G94"/>
      <c r="H94"/>
      <c r="I94"/>
    </row>
    <row r="95" spans="1:9" x14ac:dyDescent="0.35">
      <c r="A95"/>
      <c r="E95" t="s">
        <v>17</v>
      </c>
      <c r="F95" t="s">
        <v>105</v>
      </c>
      <c r="G95"/>
      <c r="H95"/>
      <c r="I95"/>
    </row>
    <row r="96" spans="1:9" x14ac:dyDescent="0.35">
      <c r="A96"/>
      <c r="E96" t="s">
        <v>17</v>
      </c>
      <c r="F96" t="s">
        <v>18</v>
      </c>
      <c r="G96"/>
      <c r="H96"/>
      <c r="I96"/>
    </row>
    <row r="97" spans="1:9" x14ac:dyDescent="0.35">
      <c r="A97"/>
      <c r="E97" t="s">
        <v>32</v>
      </c>
      <c r="F97" t="s">
        <v>33</v>
      </c>
      <c r="G97"/>
      <c r="H97"/>
      <c r="I97"/>
    </row>
    <row r="98" spans="1:9" x14ac:dyDescent="0.35">
      <c r="A98"/>
      <c r="E98" t="s">
        <v>32</v>
      </c>
      <c r="F98" t="s">
        <v>438</v>
      </c>
      <c r="G98"/>
      <c r="H98"/>
      <c r="I98"/>
    </row>
    <row r="99" spans="1:9" x14ac:dyDescent="0.35">
      <c r="A99"/>
      <c r="E99" t="s">
        <v>32</v>
      </c>
      <c r="F99" t="s">
        <v>267</v>
      </c>
      <c r="G99"/>
      <c r="H99"/>
      <c r="I99"/>
    </row>
    <row r="100" spans="1:9" x14ac:dyDescent="0.35">
      <c r="A100"/>
      <c r="E100" t="s">
        <v>32</v>
      </c>
      <c r="F100" t="s">
        <v>369</v>
      </c>
      <c r="G100"/>
      <c r="H100"/>
      <c r="I100"/>
    </row>
    <row r="101" spans="1:9" x14ac:dyDescent="0.35">
      <c r="A101"/>
      <c r="E101" t="s">
        <v>35</v>
      </c>
      <c r="F101" t="s">
        <v>573</v>
      </c>
      <c r="G101"/>
      <c r="H101"/>
      <c r="I101"/>
    </row>
    <row r="102" spans="1:9" x14ac:dyDescent="0.35">
      <c r="A102"/>
      <c r="E102" t="s">
        <v>35</v>
      </c>
      <c r="F102" t="s">
        <v>36</v>
      </c>
      <c r="G102"/>
      <c r="H102"/>
      <c r="I102"/>
    </row>
    <row r="103" spans="1:9" x14ac:dyDescent="0.35">
      <c r="A103"/>
      <c r="E103" t="s">
        <v>35</v>
      </c>
      <c r="F103" t="s">
        <v>448</v>
      </c>
      <c r="G103"/>
      <c r="H103"/>
      <c r="I103"/>
    </row>
    <row r="104" spans="1:9" x14ac:dyDescent="0.35">
      <c r="A104"/>
      <c r="E104" t="s">
        <v>320</v>
      </c>
      <c r="F104" t="s">
        <v>168</v>
      </c>
      <c r="G104"/>
      <c r="H104"/>
      <c r="I104"/>
    </row>
    <row r="105" spans="1:9" x14ac:dyDescent="0.35">
      <c r="A105"/>
      <c r="E105" t="s">
        <v>320</v>
      </c>
      <c r="F105" t="s">
        <v>586</v>
      </c>
      <c r="G105"/>
      <c r="H105"/>
      <c r="I105"/>
    </row>
    <row r="106" spans="1:9" x14ac:dyDescent="0.35">
      <c r="A106"/>
      <c r="E106" t="s">
        <v>320</v>
      </c>
      <c r="F106" t="s">
        <v>543</v>
      </c>
      <c r="G106"/>
      <c r="H106"/>
      <c r="I106"/>
    </row>
    <row r="107" spans="1:9" x14ac:dyDescent="0.35">
      <c r="A107"/>
      <c r="E107" t="s">
        <v>320</v>
      </c>
      <c r="F107" t="s">
        <v>13</v>
      </c>
      <c r="G107"/>
      <c r="H107"/>
      <c r="I107"/>
    </row>
    <row r="108" spans="1:9" x14ac:dyDescent="0.35">
      <c r="A108"/>
      <c r="E108" t="s">
        <v>129</v>
      </c>
      <c r="F108" t="s">
        <v>409</v>
      </c>
      <c r="G108"/>
      <c r="H108"/>
      <c r="I108"/>
    </row>
    <row r="109" spans="1:9" x14ac:dyDescent="0.35">
      <c r="A109"/>
      <c r="E109" t="s">
        <v>129</v>
      </c>
      <c r="F109" t="s">
        <v>130</v>
      </c>
      <c r="G109"/>
      <c r="H109"/>
      <c r="I109"/>
    </row>
    <row r="110" spans="1:9" x14ac:dyDescent="0.35">
      <c r="A110"/>
      <c r="E110" t="s">
        <v>271</v>
      </c>
      <c r="F110" t="s">
        <v>272</v>
      </c>
      <c r="G110"/>
      <c r="H110"/>
      <c r="I110"/>
    </row>
    <row r="111" spans="1:9" x14ac:dyDescent="0.35">
      <c r="A111"/>
      <c r="E111" t="s">
        <v>57</v>
      </c>
      <c r="F111" t="s">
        <v>58</v>
      </c>
      <c r="G111"/>
      <c r="H111"/>
      <c r="I111"/>
    </row>
    <row r="112" spans="1:9" x14ac:dyDescent="0.35">
      <c r="A112"/>
      <c r="E112" t="s">
        <v>117</v>
      </c>
      <c r="F112" t="s">
        <v>384</v>
      </c>
      <c r="G112"/>
      <c r="H112"/>
      <c r="I112"/>
    </row>
    <row r="113" spans="1:9" x14ac:dyDescent="0.35">
      <c r="A113"/>
      <c r="E113" t="s">
        <v>117</v>
      </c>
      <c r="F113" t="s">
        <v>118</v>
      </c>
      <c r="G113"/>
      <c r="H113"/>
      <c r="I113"/>
    </row>
    <row r="114" spans="1:9" x14ac:dyDescent="0.35">
      <c r="A114"/>
      <c r="E114" t="s">
        <v>117</v>
      </c>
      <c r="F114" t="s">
        <v>278</v>
      </c>
      <c r="G114"/>
      <c r="H114"/>
      <c r="I114"/>
    </row>
    <row r="115" spans="1:9" x14ac:dyDescent="0.35">
      <c r="A115"/>
      <c r="E115" t="s">
        <v>117</v>
      </c>
      <c r="F115" t="s">
        <v>148</v>
      </c>
      <c r="G115"/>
      <c r="H115"/>
      <c r="I115"/>
    </row>
    <row r="116" spans="1:9" x14ac:dyDescent="0.35">
      <c r="A116"/>
      <c r="E116" t="s">
        <v>117</v>
      </c>
      <c r="F116" t="s">
        <v>326</v>
      </c>
      <c r="G116"/>
      <c r="H116"/>
      <c r="I116"/>
    </row>
    <row r="117" spans="1:9" x14ac:dyDescent="0.35">
      <c r="A117"/>
      <c r="E117" t="s">
        <v>117</v>
      </c>
      <c r="F117" t="s">
        <v>244</v>
      </c>
      <c r="G117"/>
      <c r="H117"/>
      <c r="I117"/>
    </row>
    <row r="118" spans="1:9" x14ac:dyDescent="0.35">
      <c r="A118"/>
      <c r="E118" t="s">
        <v>117</v>
      </c>
      <c r="F118" t="s">
        <v>346</v>
      </c>
      <c r="G118"/>
      <c r="H118"/>
      <c r="I118"/>
    </row>
    <row r="119" spans="1:9" x14ac:dyDescent="0.35">
      <c r="A119"/>
      <c r="E119" t="s">
        <v>117</v>
      </c>
      <c r="F119" t="s">
        <v>464</v>
      </c>
      <c r="G119"/>
      <c r="H119"/>
      <c r="I119"/>
    </row>
    <row r="120" spans="1:9" x14ac:dyDescent="0.35">
      <c r="A120"/>
      <c r="E120" t="s">
        <v>117</v>
      </c>
      <c r="F120" t="s">
        <v>420</v>
      </c>
      <c r="G120"/>
      <c r="H120"/>
      <c r="I120"/>
    </row>
    <row r="121" spans="1:9" x14ac:dyDescent="0.35">
      <c r="A121"/>
      <c r="E121" t="s">
        <v>54</v>
      </c>
      <c r="F121" t="s">
        <v>115</v>
      </c>
      <c r="G121"/>
      <c r="H121"/>
      <c r="I121"/>
    </row>
    <row r="122" spans="1:9" x14ac:dyDescent="0.35">
      <c r="A122"/>
      <c r="E122" t="s">
        <v>54</v>
      </c>
      <c r="F122" t="s">
        <v>477</v>
      </c>
      <c r="G122"/>
      <c r="H122"/>
      <c r="I122"/>
    </row>
    <row r="123" spans="1:9" x14ac:dyDescent="0.35">
      <c r="A123"/>
      <c r="E123" t="s">
        <v>54</v>
      </c>
      <c r="F123" t="s">
        <v>63</v>
      </c>
      <c r="G123"/>
      <c r="H123"/>
      <c r="I123"/>
    </row>
    <row r="124" spans="1:9" x14ac:dyDescent="0.35">
      <c r="A124"/>
      <c r="E124" t="s">
        <v>54</v>
      </c>
      <c r="F124" t="s">
        <v>433</v>
      </c>
      <c r="G124"/>
      <c r="H124"/>
      <c r="I124"/>
    </row>
    <row r="125" spans="1:9" x14ac:dyDescent="0.35">
      <c r="A125"/>
      <c r="E125" t="s">
        <v>54</v>
      </c>
      <c r="F125" t="s">
        <v>55</v>
      </c>
      <c r="G125"/>
      <c r="H125"/>
      <c r="I125"/>
    </row>
    <row r="126" spans="1:9" x14ac:dyDescent="0.35">
      <c r="A126"/>
      <c r="E126" t="s">
        <v>90</v>
      </c>
      <c r="F126" t="s">
        <v>564</v>
      </c>
      <c r="G126"/>
      <c r="H126"/>
      <c r="I126"/>
    </row>
    <row r="127" spans="1:9" x14ac:dyDescent="0.35">
      <c r="A127"/>
      <c r="E127" t="s">
        <v>90</v>
      </c>
      <c r="F127" t="s">
        <v>430</v>
      </c>
      <c r="G127"/>
      <c r="H127"/>
      <c r="I127"/>
    </row>
    <row r="128" spans="1:9" x14ac:dyDescent="0.35">
      <c r="A128"/>
      <c r="E128" t="s">
        <v>90</v>
      </c>
      <c r="F128" t="s">
        <v>120</v>
      </c>
      <c r="G128"/>
      <c r="H128"/>
      <c r="I128"/>
    </row>
    <row r="129" spans="1:9" x14ac:dyDescent="0.35">
      <c r="A129"/>
      <c r="E129" t="s">
        <v>90</v>
      </c>
      <c r="F129" t="s">
        <v>91</v>
      </c>
      <c r="G129"/>
      <c r="H129"/>
      <c r="I129"/>
    </row>
    <row r="130" spans="1:9" x14ac:dyDescent="0.35">
      <c r="A130"/>
      <c r="E130" t="s">
        <v>90</v>
      </c>
      <c r="F130" t="s">
        <v>282</v>
      </c>
      <c r="G130"/>
      <c r="H130"/>
      <c r="I130"/>
    </row>
    <row r="131" spans="1:9" x14ac:dyDescent="0.35">
      <c r="A131"/>
      <c r="E131" t="s">
        <v>90</v>
      </c>
      <c r="F131" t="s">
        <v>299</v>
      </c>
      <c r="G131"/>
      <c r="H131"/>
      <c r="I131"/>
    </row>
    <row r="132" spans="1:9" x14ac:dyDescent="0.35">
      <c r="A132"/>
      <c r="E132" t="s">
        <v>90</v>
      </c>
      <c r="F132" t="s">
        <v>415</v>
      </c>
      <c r="G132"/>
      <c r="H132"/>
      <c r="I132"/>
    </row>
    <row r="133" spans="1:9" x14ac:dyDescent="0.35">
      <c r="A133"/>
      <c r="E133" t="s">
        <v>90</v>
      </c>
      <c r="F133" t="s">
        <v>190</v>
      </c>
      <c r="G133"/>
      <c r="H133"/>
      <c r="I133"/>
    </row>
    <row r="134" spans="1:9" x14ac:dyDescent="0.35">
      <c r="A134"/>
      <c r="E134" t="s">
        <v>90</v>
      </c>
      <c r="F134" t="s">
        <v>450</v>
      </c>
      <c r="G134"/>
      <c r="H134"/>
      <c r="I134"/>
    </row>
    <row r="135" spans="1:9" x14ac:dyDescent="0.35">
      <c r="A135"/>
      <c r="E135" t="s">
        <v>90</v>
      </c>
      <c r="F135" t="s">
        <v>470</v>
      </c>
      <c r="G135"/>
      <c r="H135"/>
      <c r="I135"/>
    </row>
    <row r="136" spans="1:9" x14ac:dyDescent="0.35">
      <c r="A136"/>
      <c r="E136" t="s">
        <v>50</v>
      </c>
      <c r="F136" t="s">
        <v>375</v>
      </c>
      <c r="G136"/>
      <c r="H136"/>
      <c r="I136"/>
    </row>
    <row r="137" spans="1:9" x14ac:dyDescent="0.35">
      <c r="A137"/>
      <c r="E137" t="s">
        <v>50</v>
      </c>
      <c r="F137" t="s">
        <v>51</v>
      </c>
      <c r="G137"/>
      <c r="H137"/>
      <c r="I137"/>
    </row>
    <row r="138" spans="1:9" x14ac:dyDescent="0.35">
      <c r="A138"/>
      <c r="E138" t="s">
        <v>50</v>
      </c>
      <c r="F138" t="s">
        <v>139</v>
      </c>
      <c r="G138"/>
      <c r="H138"/>
      <c r="I138"/>
    </row>
    <row r="139" spans="1:9" x14ac:dyDescent="0.35">
      <c r="A139"/>
      <c r="E139" t="s">
        <v>50</v>
      </c>
      <c r="F139" t="s">
        <v>328</v>
      </c>
      <c r="G139"/>
      <c r="H139"/>
      <c r="I139"/>
    </row>
    <row r="140" spans="1:9" x14ac:dyDescent="0.35">
      <c r="A140"/>
      <c r="E140" t="s">
        <v>50</v>
      </c>
      <c r="F140" t="s">
        <v>182</v>
      </c>
      <c r="G140"/>
      <c r="H140"/>
      <c r="I140"/>
    </row>
    <row r="141" spans="1:9" x14ac:dyDescent="0.35">
      <c r="A141"/>
      <c r="E141" t="s">
        <v>50</v>
      </c>
      <c r="F141" t="s">
        <v>535</v>
      </c>
      <c r="G141"/>
      <c r="H141"/>
      <c r="I141"/>
    </row>
    <row r="142" spans="1:9" x14ac:dyDescent="0.35">
      <c r="A142"/>
      <c r="E142" t="s">
        <v>50</v>
      </c>
      <c r="F142" t="s">
        <v>134</v>
      </c>
      <c r="G142"/>
      <c r="H142"/>
      <c r="I142"/>
    </row>
    <row r="143" spans="1:9" x14ac:dyDescent="0.35">
      <c r="A143"/>
      <c r="E143" t="s">
        <v>50</v>
      </c>
      <c r="F143" t="s">
        <v>393</v>
      </c>
      <c r="G143"/>
      <c r="H143"/>
      <c r="I143"/>
    </row>
    <row r="144" spans="1:9" x14ac:dyDescent="0.35">
      <c r="A144"/>
      <c r="E144" t="s">
        <v>50</v>
      </c>
      <c r="F144" t="s">
        <v>13</v>
      </c>
      <c r="G144"/>
      <c r="H144"/>
      <c r="I144"/>
    </row>
    <row r="145" spans="1:9" x14ac:dyDescent="0.35">
      <c r="A145"/>
      <c r="E145" t="s">
        <v>50</v>
      </c>
      <c r="F145" t="s">
        <v>205</v>
      </c>
      <c r="G145"/>
      <c r="H145"/>
      <c r="I145"/>
    </row>
    <row r="146" spans="1:9" x14ac:dyDescent="0.35">
      <c r="A146"/>
      <c r="E146" t="s">
        <v>74</v>
      </c>
      <c r="F146" t="s">
        <v>75</v>
      </c>
      <c r="G146"/>
      <c r="H146"/>
      <c r="I146"/>
    </row>
    <row r="147" spans="1:9" x14ac:dyDescent="0.35">
      <c r="A147"/>
      <c r="E147" t="s">
        <v>74</v>
      </c>
      <c r="F147" t="s">
        <v>442</v>
      </c>
      <c r="G147"/>
      <c r="H147"/>
      <c r="I147"/>
    </row>
    <row r="148" spans="1:9" x14ac:dyDescent="0.35">
      <c r="A148"/>
      <c r="E148" t="s">
        <v>74</v>
      </c>
      <c r="F148" t="s">
        <v>380</v>
      </c>
      <c r="G148"/>
      <c r="H148"/>
      <c r="I148"/>
    </row>
    <row r="149" spans="1:9" x14ac:dyDescent="0.35">
      <c r="A149"/>
      <c r="E149" t="s">
        <v>12</v>
      </c>
      <c r="F149" t="s">
        <v>517</v>
      </c>
      <c r="G149"/>
      <c r="H149"/>
      <c r="I149"/>
    </row>
    <row r="150" spans="1:9" x14ac:dyDescent="0.35">
      <c r="A150"/>
      <c r="E150" t="s">
        <v>12</v>
      </c>
      <c r="F150" t="s">
        <v>233</v>
      </c>
      <c r="G150"/>
      <c r="H150"/>
      <c r="I150"/>
    </row>
    <row r="151" spans="1:9" x14ac:dyDescent="0.35">
      <c r="A151"/>
      <c r="E151" t="s">
        <v>12</v>
      </c>
      <c r="F151" t="s">
        <v>13</v>
      </c>
      <c r="G151"/>
      <c r="H151"/>
      <c r="I151"/>
    </row>
    <row r="152" spans="1:9" x14ac:dyDescent="0.35">
      <c r="A152"/>
      <c r="E152" t="s">
        <v>77</v>
      </c>
      <c r="F152" t="s">
        <v>350</v>
      </c>
      <c r="G152"/>
      <c r="H152"/>
      <c r="I152"/>
    </row>
    <row r="153" spans="1:9" x14ac:dyDescent="0.35">
      <c r="A153"/>
      <c r="E153" t="s">
        <v>77</v>
      </c>
      <c r="F153" t="s">
        <v>78</v>
      </c>
      <c r="G153"/>
      <c r="H153"/>
      <c r="I153"/>
    </row>
    <row r="154" spans="1:9" x14ac:dyDescent="0.35">
      <c r="A154"/>
      <c r="E154" t="s">
        <v>537</v>
      </c>
      <c r="F154" t="s">
        <v>538</v>
      </c>
      <c r="G154"/>
      <c r="H154"/>
      <c r="I154"/>
    </row>
    <row r="155" spans="1:9" x14ac:dyDescent="0.35">
      <c r="A155"/>
      <c r="E155" t="s">
        <v>494</v>
      </c>
      <c r="F155" t="s">
        <v>495</v>
      </c>
      <c r="G155"/>
      <c r="H155"/>
      <c r="I155"/>
    </row>
    <row r="156" spans="1:9" x14ac:dyDescent="0.35">
      <c r="A156"/>
      <c r="E156" t="s">
        <v>136</v>
      </c>
      <c r="F156" t="s">
        <v>137</v>
      </c>
      <c r="G156"/>
      <c r="H156"/>
      <c r="I156"/>
    </row>
    <row r="157" spans="1:9" x14ac:dyDescent="0.35">
      <c r="A157"/>
      <c r="E157" t="s">
        <v>136</v>
      </c>
      <c r="F157" t="s">
        <v>168</v>
      </c>
      <c r="G157"/>
      <c r="H157"/>
      <c r="I157"/>
    </row>
    <row r="158" spans="1:9" x14ac:dyDescent="0.35">
      <c r="A158"/>
      <c r="E158" t="s">
        <v>136</v>
      </c>
      <c r="F158" t="s">
        <v>405</v>
      </c>
      <c r="G158"/>
      <c r="H158"/>
      <c r="I158"/>
    </row>
    <row r="159" spans="1:9" x14ac:dyDescent="0.35">
      <c r="A159"/>
      <c r="E159" t="s">
        <v>136</v>
      </c>
      <c r="F159" t="s">
        <v>36</v>
      </c>
      <c r="G159"/>
      <c r="H159"/>
      <c r="I159"/>
    </row>
    <row r="160" spans="1:9" x14ac:dyDescent="0.35">
      <c r="A160"/>
      <c r="E160" t="s">
        <v>136</v>
      </c>
      <c r="F160" t="s">
        <v>155</v>
      </c>
      <c r="G160"/>
      <c r="H160"/>
      <c r="I160"/>
    </row>
    <row r="161" spans="1:9" x14ac:dyDescent="0.35">
      <c r="A161"/>
      <c r="E161" t="s">
        <v>136</v>
      </c>
      <c r="F161" t="s">
        <v>367</v>
      </c>
      <c r="G161"/>
      <c r="H161"/>
      <c r="I161"/>
    </row>
    <row r="162" spans="1:9" x14ac:dyDescent="0.35">
      <c r="A162"/>
      <c r="E162" t="s">
        <v>136</v>
      </c>
      <c r="F162" t="s">
        <v>503</v>
      </c>
      <c r="G162"/>
      <c r="H162"/>
      <c r="I162"/>
    </row>
    <row r="163" spans="1:9" x14ac:dyDescent="0.35">
      <c r="A163"/>
      <c r="E163" t="s">
        <v>136</v>
      </c>
      <c r="F163" t="s">
        <v>488</v>
      </c>
      <c r="G163"/>
      <c r="H163"/>
      <c r="I163"/>
    </row>
    <row r="164" spans="1:9" x14ac:dyDescent="0.35">
      <c r="A164"/>
      <c r="E164" t="s">
        <v>23</v>
      </c>
      <c r="F164" t="s">
        <v>580</v>
      </c>
      <c r="G164"/>
      <c r="H164"/>
      <c r="I164"/>
    </row>
    <row r="165" spans="1:9" x14ac:dyDescent="0.35">
      <c r="A165"/>
      <c r="E165" t="s">
        <v>23</v>
      </c>
      <c r="F165" t="s">
        <v>290</v>
      </c>
      <c r="G165"/>
      <c r="H165"/>
      <c r="I165"/>
    </row>
    <row r="166" spans="1:9" x14ac:dyDescent="0.35">
      <c r="A166"/>
      <c r="E166" t="s">
        <v>23</v>
      </c>
      <c r="F166" t="s">
        <v>322</v>
      </c>
      <c r="G166"/>
      <c r="H166"/>
      <c r="I166"/>
    </row>
    <row r="167" spans="1:9" x14ac:dyDescent="0.35">
      <c r="A167"/>
      <c r="E167" t="s">
        <v>23</v>
      </c>
      <c r="F167" t="s">
        <v>208</v>
      </c>
      <c r="G167"/>
      <c r="H167"/>
      <c r="I167"/>
    </row>
    <row r="168" spans="1:9" x14ac:dyDescent="0.35">
      <c r="A168"/>
      <c r="E168" t="s">
        <v>23</v>
      </c>
      <c r="F168" t="s">
        <v>588</v>
      </c>
      <c r="G168"/>
      <c r="H168"/>
      <c r="I168"/>
    </row>
    <row r="169" spans="1:9" x14ac:dyDescent="0.35">
      <c r="A169"/>
      <c r="E169" t="s">
        <v>23</v>
      </c>
      <c r="F169" t="s">
        <v>24</v>
      </c>
      <c r="G169"/>
      <c r="H169"/>
      <c r="I169"/>
    </row>
    <row r="170" spans="1:9" x14ac:dyDescent="0.35">
      <c r="A170"/>
      <c r="E170" t="s">
        <v>23</v>
      </c>
      <c r="F170" t="s">
        <v>426</v>
      </c>
      <c r="G170"/>
      <c r="H170"/>
      <c r="I170"/>
    </row>
    <row r="171" spans="1:9" x14ac:dyDescent="0.35">
      <c r="A171"/>
      <c r="E171" t="s">
        <v>23</v>
      </c>
      <c r="F171" t="s">
        <v>144</v>
      </c>
      <c r="G171"/>
      <c r="H171"/>
      <c r="I171"/>
    </row>
    <row r="172" spans="1:9" x14ac:dyDescent="0.35">
      <c r="A172"/>
      <c r="E172" t="s">
        <v>23</v>
      </c>
      <c r="F172" t="s">
        <v>170</v>
      </c>
      <c r="G172"/>
      <c r="H172"/>
      <c r="I172"/>
    </row>
    <row r="173" spans="1:9" x14ac:dyDescent="0.35">
      <c r="A173"/>
      <c r="E173" t="s">
        <v>23</v>
      </c>
      <c r="F173" t="s">
        <v>26</v>
      </c>
      <c r="G173"/>
      <c r="H173"/>
      <c r="I173"/>
    </row>
    <row r="174" spans="1:9" x14ac:dyDescent="0.35">
      <c r="A174"/>
      <c r="E174" t="s">
        <v>23</v>
      </c>
      <c r="F174" t="s">
        <v>425</v>
      </c>
      <c r="G174"/>
      <c r="H174"/>
      <c r="I174"/>
    </row>
    <row r="175" spans="1:9" x14ac:dyDescent="0.35">
      <c r="A175"/>
      <c r="E175" t="s">
        <v>23</v>
      </c>
      <c r="F175" t="s">
        <v>358</v>
      </c>
      <c r="G175"/>
      <c r="H175"/>
      <c r="I175"/>
    </row>
    <row r="176" spans="1:9" x14ac:dyDescent="0.35">
      <c r="A176"/>
      <c r="E176" t="s">
        <v>23</v>
      </c>
      <c r="F176" t="s">
        <v>257</v>
      </c>
      <c r="G176"/>
      <c r="H176"/>
      <c r="I176"/>
    </row>
    <row r="177" spans="1:9" x14ac:dyDescent="0.35">
      <c r="A177"/>
      <c r="E177" t="s">
        <v>23</v>
      </c>
      <c r="F177" t="s">
        <v>159</v>
      </c>
      <c r="G177"/>
      <c r="H177"/>
      <c r="I177"/>
    </row>
    <row r="178" spans="1:9" x14ac:dyDescent="0.35">
      <c r="A178"/>
      <c r="E178" t="s">
        <v>23</v>
      </c>
      <c r="F178" t="s">
        <v>560</v>
      </c>
      <c r="G178"/>
      <c r="H178"/>
      <c r="I178"/>
    </row>
    <row r="179" spans="1:9" x14ac:dyDescent="0.35">
      <c r="A179"/>
      <c r="E179" t="s">
        <v>23</v>
      </c>
      <c r="F179" t="s">
        <v>339</v>
      </c>
      <c r="G179"/>
      <c r="H179"/>
      <c r="I179"/>
    </row>
    <row r="180" spans="1:9" x14ac:dyDescent="0.35">
      <c r="A180"/>
      <c r="E180" t="s">
        <v>23</v>
      </c>
      <c r="F180" t="s">
        <v>403</v>
      </c>
      <c r="G180"/>
      <c r="H180"/>
      <c r="I180"/>
    </row>
    <row r="181" spans="1:9" x14ac:dyDescent="0.35">
      <c r="A181"/>
      <c r="E181" t="s">
        <v>23</v>
      </c>
      <c r="F181" t="s">
        <v>88</v>
      </c>
      <c r="G181"/>
      <c r="H181"/>
      <c r="I181"/>
    </row>
    <row r="182" spans="1:9" x14ac:dyDescent="0.35">
      <c r="A182"/>
      <c r="E182" t="s">
        <v>23</v>
      </c>
      <c r="F182" t="s">
        <v>454</v>
      </c>
      <c r="G182"/>
      <c r="H182"/>
      <c r="I182"/>
    </row>
    <row r="183" spans="1:9" x14ac:dyDescent="0.35">
      <c r="A183"/>
      <c r="E183" t="s">
        <v>95</v>
      </c>
      <c r="F183" t="s">
        <v>96</v>
      </c>
      <c r="G183"/>
      <c r="H183"/>
      <c r="I183"/>
    </row>
    <row r="184" spans="1:9" x14ac:dyDescent="0.35">
      <c r="A184"/>
      <c r="E184" t="s">
        <v>429</v>
      </c>
      <c r="F184" t="s">
        <v>430</v>
      </c>
      <c r="G184"/>
      <c r="H184"/>
      <c r="I184"/>
    </row>
    <row r="185" spans="1:9" x14ac:dyDescent="0.35">
      <c r="A185"/>
      <c r="E185" t="s">
        <v>253</v>
      </c>
      <c r="F185" t="s">
        <v>290</v>
      </c>
      <c r="G185"/>
      <c r="H185"/>
      <c r="I185"/>
    </row>
    <row r="186" spans="1:9" x14ac:dyDescent="0.35">
      <c r="A186"/>
      <c r="E186" t="s">
        <v>253</v>
      </c>
      <c r="F186" t="s">
        <v>263</v>
      </c>
      <c r="G186"/>
      <c r="H186"/>
      <c r="I186"/>
    </row>
    <row r="187" spans="1:9" x14ac:dyDescent="0.35">
      <c r="A187"/>
      <c r="E187" t="s">
        <v>253</v>
      </c>
      <c r="F187" t="s">
        <v>265</v>
      </c>
      <c r="G187"/>
      <c r="H187"/>
      <c r="I187"/>
    </row>
    <row r="188" spans="1:9" x14ac:dyDescent="0.35">
      <c r="A188"/>
      <c r="E188" t="s">
        <v>253</v>
      </c>
      <c r="F188" t="s">
        <v>30</v>
      </c>
      <c r="G188"/>
      <c r="H188"/>
      <c r="I188"/>
    </row>
    <row r="189" spans="1:9" x14ac:dyDescent="0.35">
      <c r="A189"/>
      <c r="E189" t="s">
        <v>253</v>
      </c>
      <c r="F189" t="s">
        <v>554</v>
      </c>
      <c r="G189"/>
      <c r="H189"/>
      <c r="I189"/>
    </row>
    <row r="190" spans="1:9" x14ac:dyDescent="0.35">
      <c r="A190"/>
      <c r="E190" t="s">
        <v>253</v>
      </c>
      <c r="F190" t="s">
        <v>13</v>
      </c>
      <c r="G190"/>
      <c r="H190"/>
      <c r="I190"/>
    </row>
    <row r="191" spans="1:9" x14ac:dyDescent="0.35">
      <c r="A191"/>
      <c r="E191" t="s">
        <v>253</v>
      </c>
      <c r="F191" t="s">
        <v>492</v>
      </c>
      <c r="G191"/>
      <c r="H191"/>
      <c r="I191"/>
    </row>
    <row r="192" spans="1:9" x14ac:dyDescent="0.35">
      <c r="A192"/>
      <c r="E192" t="s">
        <v>253</v>
      </c>
      <c r="F192" t="s">
        <v>261</v>
      </c>
      <c r="G192"/>
      <c r="H192"/>
      <c r="I192"/>
    </row>
    <row r="193" spans="1:9" x14ac:dyDescent="0.35">
      <c r="A193"/>
      <c r="E193" t="s">
        <v>253</v>
      </c>
      <c r="F193" t="s">
        <v>309</v>
      </c>
      <c r="G193"/>
      <c r="H193"/>
      <c r="I193"/>
    </row>
    <row r="194" spans="1:9" x14ac:dyDescent="0.35">
      <c r="A194"/>
      <c r="E194" t="s">
        <v>20</v>
      </c>
      <c r="F194" t="s">
        <v>377</v>
      </c>
      <c r="G194"/>
      <c r="H194"/>
      <c r="I194"/>
    </row>
    <row r="195" spans="1:9" x14ac:dyDescent="0.35">
      <c r="A195"/>
      <c r="E195" t="s">
        <v>20</v>
      </c>
      <c r="F195" t="s">
        <v>142</v>
      </c>
      <c r="G195"/>
      <c r="H195"/>
      <c r="I195"/>
    </row>
    <row r="196" spans="1:9" x14ac:dyDescent="0.35">
      <c r="A196"/>
      <c r="E196" t="s">
        <v>20</v>
      </c>
      <c r="F196" t="s">
        <v>552</v>
      </c>
      <c r="G196"/>
      <c r="H196"/>
      <c r="I196"/>
    </row>
    <row r="197" spans="1:9" x14ac:dyDescent="0.35">
      <c r="A197"/>
      <c r="E197" t="s">
        <v>20</v>
      </c>
      <c r="F197" t="s">
        <v>548</v>
      </c>
      <c r="G197"/>
      <c r="H197"/>
      <c r="I197"/>
    </row>
    <row r="198" spans="1:9" x14ac:dyDescent="0.35">
      <c r="A198"/>
      <c r="E198" t="s">
        <v>20</v>
      </c>
      <c r="F198" t="s">
        <v>21</v>
      </c>
      <c r="G198"/>
      <c r="H198"/>
      <c r="I198"/>
    </row>
    <row r="199" spans="1:9" x14ac:dyDescent="0.35">
      <c r="A199"/>
      <c r="E199" t="s">
        <v>151</v>
      </c>
      <c r="F199" t="s">
        <v>576</v>
      </c>
      <c r="G199"/>
      <c r="H199"/>
      <c r="I199"/>
    </row>
    <row r="200" spans="1:9" x14ac:dyDescent="0.35">
      <c r="A200"/>
      <c r="E200" t="s">
        <v>151</v>
      </c>
      <c r="F200" t="s">
        <v>211</v>
      </c>
      <c r="G200"/>
      <c r="H200"/>
      <c r="I200"/>
    </row>
    <row r="201" spans="1:9" x14ac:dyDescent="0.35">
      <c r="A201"/>
      <c r="E201" t="s">
        <v>151</v>
      </c>
      <c r="F201" t="s">
        <v>330</v>
      </c>
      <c r="G201"/>
      <c r="H201"/>
      <c r="I201"/>
    </row>
    <row r="202" spans="1:9" x14ac:dyDescent="0.35">
      <c r="A202"/>
      <c r="E202" t="s">
        <v>151</v>
      </c>
      <c r="F202" t="s">
        <v>152</v>
      </c>
      <c r="G202"/>
      <c r="H202"/>
      <c r="I202"/>
    </row>
    <row r="203" spans="1:9" x14ac:dyDescent="0.35">
      <c r="A203"/>
      <c r="E203"/>
      <c r="F203"/>
      <c r="G203"/>
      <c r="H203"/>
      <c r="I203"/>
    </row>
    <row r="204" spans="1:9" x14ac:dyDescent="0.35">
      <c r="A204"/>
      <c r="E204"/>
      <c r="F204"/>
      <c r="G204"/>
      <c r="H204"/>
      <c r="I204"/>
    </row>
    <row r="205" spans="1:9" x14ac:dyDescent="0.35">
      <c r="A205"/>
      <c r="E205"/>
      <c r="F205"/>
      <c r="G205"/>
      <c r="H205"/>
      <c r="I205"/>
    </row>
    <row r="206" spans="1:9" x14ac:dyDescent="0.35">
      <c r="A206"/>
      <c r="E206"/>
      <c r="F206"/>
      <c r="G206"/>
      <c r="H206"/>
      <c r="I206"/>
    </row>
    <row r="207" spans="1:9" x14ac:dyDescent="0.35">
      <c r="A207"/>
      <c r="E207"/>
      <c r="F207"/>
      <c r="G207"/>
      <c r="H207"/>
      <c r="I207"/>
    </row>
    <row r="208" spans="1:9" x14ac:dyDescent="0.35">
      <c r="A208"/>
      <c r="E208"/>
      <c r="F208"/>
      <c r="G208"/>
      <c r="H208"/>
      <c r="I208"/>
    </row>
    <row r="209" spans="1:9" x14ac:dyDescent="0.35">
      <c r="A209"/>
      <c r="E209"/>
      <c r="F209"/>
      <c r="G209"/>
      <c r="H209"/>
      <c r="I209"/>
    </row>
    <row r="210" spans="1:9" x14ac:dyDescent="0.35">
      <c r="A210"/>
      <c r="E210"/>
      <c r="F210"/>
      <c r="G210"/>
      <c r="H210"/>
      <c r="I210"/>
    </row>
    <row r="211" spans="1:9" x14ac:dyDescent="0.35">
      <c r="A211"/>
      <c r="E211"/>
      <c r="F211"/>
      <c r="G211"/>
      <c r="H211"/>
      <c r="I211"/>
    </row>
    <row r="212" spans="1:9" x14ac:dyDescent="0.35">
      <c r="A212"/>
      <c r="E212"/>
      <c r="F212"/>
      <c r="G212"/>
      <c r="H212"/>
      <c r="I212"/>
    </row>
    <row r="213" spans="1:9" x14ac:dyDescent="0.35">
      <c r="A213"/>
      <c r="E213"/>
      <c r="F213"/>
      <c r="G213"/>
      <c r="H213"/>
      <c r="I213"/>
    </row>
    <row r="214" spans="1:9" x14ac:dyDescent="0.35">
      <c r="A214"/>
      <c r="E214"/>
      <c r="F214"/>
      <c r="G214"/>
      <c r="H214"/>
      <c r="I214"/>
    </row>
    <row r="215" spans="1:9" x14ac:dyDescent="0.35">
      <c r="A215"/>
      <c r="E215"/>
      <c r="F215"/>
      <c r="G215"/>
      <c r="H215"/>
      <c r="I215"/>
    </row>
    <row r="216" spans="1:9" x14ac:dyDescent="0.35">
      <c r="A216"/>
      <c r="E216"/>
      <c r="F216"/>
      <c r="G216"/>
      <c r="H216"/>
      <c r="I216"/>
    </row>
    <row r="217" spans="1:9" x14ac:dyDescent="0.35">
      <c r="A217"/>
      <c r="E217"/>
      <c r="F217"/>
      <c r="G217"/>
      <c r="H217"/>
      <c r="I217"/>
    </row>
    <row r="218" spans="1:9" x14ac:dyDescent="0.35">
      <c r="A218"/>
      <c r="E218"/>
      <c r="F218"/>
      <c r="G218"/>
      <c r="H218"/>
      <c r="I218"/>
    </row>
    <row r="219" spans="1:9" x14ac:dyDescent="0.35">
      <c r="A219"/>
      <c r="E219"/>
      <c r="F219"/>
      <c r="G219"/>
      <c r="H219"/>
      <c r="I219"/>
    </row>
    <row r="220" spans="1:9" x14ac:dyDescent="0.35">
      <c r="A220"/>
      <c r="E220"/>
      <c r="F220"/>
      <c r="G220"/>
      <c r="H220"/>
      <c r="I220"/>
    </row>
    <row r="221" spans="1:9" x14ac:dyDescent="0.35">
      <c r="A221"/>
      <c r="E221"/>
      <c r="F221"/>
      <c r="G221"/>
      <c r="H221"/>
      <c r="I221"/>
    </row>
    <row r="222" spans="1:9" x14ac:dyDescent="0.35">
      <c r="A222"/>
      <c r="E222"/>
      <c r="F222"/>
      <c r="G222"/>
      <c r="H222"/>
      <c r="I222"/>
    </row>
    <row r="223" spans="1:9" x14ac:dyDescent="0.35">
      <c r="A223"/>
      <c r="E223"/>
      <c r="F223"/>
      <c r="G223"/>
      <c r="H223"/>
      <c r="I223"/>
    </row>
    <row r="224" spans="1:9" x14ac:dyDescent="0.35">
      <c r="A224"/>
      <c r="E224"/>
      <c r="F224"/>
      <c r="G224"/>
      <c r="H224"/>
      <c r="I224"/>
    </row>
    <row r="225" spans="1:9" x14ac:dyDescent="0.35">
      <c r="A225"/>
      <c r="E225"/>
      <c r="F225"/>
      <c r="G225"/>
      <c r="H225"/>
      <c r="I225"/>
    </row>
    <row r="226" spans="1:9" x14ac:dyDescent="0.35">
      <c r="A226"/>
      <c r="E226"/>
      <c r="F226"/>
      <c r="G226"/>
      <c r="H226"/>
      <c r="I226"/>
    </row>
    <row r="227" spans="1:9" x14ac:dyDescent="0.35">
      <c r="A227"/>
      <c r="E227"/>
      <c r="F227"/>
      <c r="G227"/>
      <c r="H227"/>
      <c r="I227"/>
    </row>
    <row r="228" spans="1:9" x14ac:dyDescent="0.35">
      <c r="A228"/>
      <c r="E228"/>
      <c r="F228"/>
      <c r="G228"/>
      <c r="H228"/>
      <c r="I228"/>
    </row>
    <row r="229" spans="1:9" x14ac:dyDescent="0.35">
      <c r="A229"/>
      <c r="E229"/>
      <c r="F229"/>
      <c r="G229"/>
      <c r="H229"/>
      <c r="I229"/>
    </row>
    <row r="230" spans="1:9" x14ac:dyDescent="0.35">
      <c r="A230"/>
      <c r="E230"/>
      <c r="F230"/>
      <c r="G230"/>
      <c r="H230"/>
      <c r="I230"/>
    </row>
    <row r="231" spans="1:9" x14ac:dyDescent="0.35">
      <c r="A231"/>
      <c r="E231"/>
      <c r="F231"/>
      <c r="G231"/>
      <c r="H231"/>
      <c r="I231"/>
    </row>
    <row r="232" spans="1:9" x14ac:dyDescent="0.35">
      <c r="A232"/>
      <c r="E232"/>
      <c r="F232"/>
      <c r="G232"/>
      <c r="H232"/>
      <c r="I232"/>
    </row>
    <row r="233" spans="1:9" x14ac:dyDescent="0.35">
      <c r="A233"/>
      <c r="E233"/>
      <c r="F233"/>
      <c r="G233"/>
      <c r="H233"/>
      <c r="I233"/>
    </row>
    <row r="234" spans="1:9" x14ac:dyDescent="0.35">
      <c r="A234"/>
      <c r="E234"/>
      <c r="F234"/>
      <c r="G234"/>
      <c r="H234"/>
      <c r="I234"/>
    </row>
    <row r="235" spans="1:9" x14ac:dyDescent="0.35">
      <c r="A235"/>
      <c r="E235"/>
      <c r="F235"/>
      <c r="G235"/>
      <c r="H235"/>
      <c r="I235"/>
    </row>
    <row r="236" spans="1:9" x14ac:dyDescent="0.35">
      <c r="A236"/>
      <c r="E236"/>
      <c r="F236"/>
      <c r="G236"/>
      <c r="H236"/>
      <c r="I236"/>
    </row>
    <row r="237" spans="1:9" x14ac:dyDescent="0.35">
      <c r="A237"/>
      <c r="E237"/>
      <c r="F237"/>
      <c r="G237"/>
      <c r="H237"/>
      <c r="I237"/>
    </row>
    <row r="238" spans="1:9" x14ac:dyDescent="0.35">
      <c r="A238"/>
      <c r="E238"/>
      <c r="F238"/>
      <c r="G238"/>
      <c r="H238"/>
      <c r="I238"/>
    </row>
    <row r="239" spans="1:9" x14ac:dyDescent="0.35">
      <c r="A239"/>
      <c r="E239"/>
      <c r="F239"/>
      <c r="G239"/>
      <c r="H239"/>
      <c r="I239"/>
    </row>
    <row r="240" spans="1:9" x14ac:dyDescent="0.35">
      <c r="A240"/>
      <c r="E240"/>
      <c r="F240"/>
      <c r="G240"/>
      <c r="H240"/>
      <c r="I240"/>
    </row>
    <row r="241" spans="1:9" x14ac:dyDescent="0.35">
      <c r="A241"/>
      <c r="E241"/>
      <c r="F241"/>
      <c r="G241"/>
      <c r="H241"/>
      <c r="I241"/>
    </row>
    <row r="242" spans="1:9" x14ac:dyDescent="0.35">
      <c r="A242"/>
      <c r="E242"/>
      <c r="F242"/>
      <c r="G242"/>
      <c r="H242"/>
      <c r="I242"/>
    </row>
    <row r="243" spans="1:9" x14ac:dyDescent="0.35">
      <c r="A243"/>
      <c r="E243"/>
      <c r="F243"/>
      <c r="G243"/>
      <c r="H243"/>
      <c r="I243"/>
    </row>
    <row r="244" spans="1:9" x14ac:dyDescent="0.35">
      <c r="A244"/>
      <c r="E244"/>
      <c r="F244"/>
      <c r="G244"/>
      <c r="H244"/>
      <c r="I244"/>
    </row>
    <row r="245" spans="1:9" x14ac:dyDescent="0.35">
      <c r="A245"/>
      <c r="E245"/>
      <c r="F245"/>
      <c r="G245"/>
      <c r="H245"/>
      <c r="I245"/>
    </row>
    <row r="246" spans="1:9" x14ac:dyDescent="0.35">
      <c r="A246"/>
      <c r="E246"/>
      <c r="F246"/>
      <c r="G246"/>
      <c r="H246"/>
      <c r="I246"/>
    </row>
    <row r="247" spans="1:9" x14ac:dyDescent="0.35">
      <c r="A247"/>
      <c r="E247"/>
      <c r="F247"/>
      <c r="G247"/>
      <c r="H247"/>
      <c r="I247"/>
    </row>
    <row r="248" spans="1:9" x14ac:dyDescent="0.35">
      <c r="A248"/>
      <c r="E248"/>
      <c r="F248"/>
      <c r="G248"/>
      <c r="H248"/>
      <c r="I248"/>
    </row>
    <row r="249" spans="1:9" x14ac:dyDescent="0.35">
      <c r="A249"/>
      <c r="E249"/>
      <c r="F249"/>
      <c r="G249"/>
      <c r="H249"/>
      <c r="I249"/>
    </row>
    <row r="250" spans="1:9" x14ac:dyDescent="0.35">
      <c r="A250"/>
      <c r="E250"/>
      <c r="F250"/>
      <c r="G250"/>
      <c r="H250"/>
      <c r="I250"/>
    </row>
    <row r="251" spans="1:9" x14ac:dyDescent="0.35">
      <c r="A251"/>
      <c r="E251"/>
      <c r="F251"/>
      <c r="G251"/>
      <c r="H251"/>
      <c r="I251"/>
    </row>
    <row r="252" spans="1:9" x14ac:dyDescent="0.35">
      <c r="A252"/>
      <c r="E252"/>
      <c r="F252"/>
      <c r="G252"/>
      <c r="H252"/>
      <c r="I252"/>
    </row>
    <row r="253" spans="1:9" x14ac:dyDescent="0.35">
      <c r="A253"/>
      <c r="E253"/>
      <c r="F253"/>
      <c r="G253"/>
      <c r="H253"/>
      <c r="I253"/>
    </row>
    <row r="254" spans="1:9" x14ac:dyDescent="0.35">
      <c r="A254"/>
      <c r="E254"/>
      <c r="F254"/>
      <c r="G254"/>
      <c r="H254"/>
      <c r="I254"/>
    </row>
    <row r="255" spans="1:9" x14ac:dyDescent="0.35">
      <c r="A255"/>
      <c r="E255"/>
      <c r="F255"/>
      <c r="G255"/>
      <c r="H255"/>
      <c r="I255"/>
    </row>
    <row r="256" spans="1:9" x14ac:dyDescent="0.35">
      <c r="A256"/>
      <c r="E256"/>
      <c r="F256"/>
      <c r="G256"/>
      <c r="H256"/>
      <c r="I256"/>
    </row>
    <row r="257" spans="1:9" x14ac:dyDescent="0.35">
      <c r="A257"/>
      <c r="E257"/>
      <c r="F257"/>
      <c r="G257"/>
      <c r="H257"/>
      <c r="I257"/>
    </row>
    <row r="258" spans="1:9" x14ac:dyDescent="0.35">
      <c r="A258"/>
      <c r="E258"/>
      <c r="F258"/>
      <c r="G258"/>
      <c r="H258"/>
      <c r="I258"/>
    </row>
    <row r="259" spans="1:9" x14ac:dyDescent="0.35">
      <c r="A259"/>
      <c r="E259"/>
      <c r="F259"/>
      <c r="G259"/>
      <c r="H259"/>
      <c r="I259"/>
    </row>
    <row r="260" spans="1:9" x14ac:dyDescent="0.35">
      <c r="A260"/>
      <c r="E260"/>
      <c r="F260"/>
      <c r="G260"/>
      <c r="H260"/>
      <c r="I260"/>
    </row>
    <row r="261" spans="1:9" x14ac:dyDescent="0.35">
      <c r="A261"/>
      <c r="E261"/>
      <c r="F261"/>
      <c r="G261"/>
      <c r="H261"/>
      <c r="I261"/>
    </row>
    <row r="262" spans="1:9" x14ac:dyDescent="0.35">
      <c r="A262"/>
      <c r="E262"/>
      <c r="F262"/>
      <c r="G262"/>
      <c r="H262"/>
      <c r="I262"/>
    </row>
    <row r="263" spans="1:9" x14ac:dyDescent="0.35">
      <c r="A263"/>
      <c r="E263"/>
      <c r="F263"/>
      <c r="G263"/>
      <c r="H263"/>
      <c r="I263"/>
    </row>
    <row r="264" spans="1:9" x14ac:dyDescent="0.35">
      <c r="A264"/>
      <c r="E264"/>
      <c r="F264"/>
      <c r="G264"/>
      <c r="H264"/>
      <c r="I264"/>
    </row>
    <row r="265" spans="1:9" x14ac:dyDescent="0.35">
      <c r="A265"/>
      <c r="E265"/>
      <c r="F265"/>
      <c r="G265"/>
      <c r="H265"/>
      <c r="I265"/>
    </row>
    <row r="266" spans="1:9" x14ac:dyDescent="0.35">
      <c r="A266"/>
      <c r="E266"/>
      <c r="F266"/>
      <c r="G266"/>
      <c r="H266"/>
      <c r="I266"/>
    </row>
    <row r="267" spans="1:9" x14ac:dyDescent="0.35">
      <c r="A267"/>
      <c r="E267"/>
      <c r="F267"/>
      <c r="G267"/>
      <c r="H267"/>
      <c r="I267"/>
    </row>
    <row r="268" spans="1:9" x14ac:dyDescent="0.35">
      <c r="A268"/>
      <c r="E268"/>
      <c r="F268"/>
      <c r="G268"/>
      <c r="H268"/>
      <c r="I268"/>
    </row>
    <row r="269" spans="1:9" x14ac:dyDescent="0.35">
      <c r="A269"/>
      <c r="E269"/>
      <c r="F269"/>
      <c r="G269"/>
      <c r="H269"/>
      <c r="I269"/>
    </row>
    <row r="270" spans="1:9" x14ac:dyDescent="0.35">
      <c r="A270"/>
      <c r="E270"/>
      <c r="F270"/>
      <c r="G270"/>
      <c r="H270"/>
      <c r="I270"/>
    </row>
    <row r="271" spans="1:9" x14ac:dyDescent="0.35">
      <c r="A271"/>
      <c r="E271"/>
      <c r="F271"/>
      <c r="G271"/>
      <c r="H271"/>
      <c r="I271"/>
    </row>
    <row r="272" spans="1:9" x14ac:dyDescent="0.35">
      <c r="A272"/>
      <c r="E272"/>
      <c r="F272"/>
      <c r="G272"/>
      <c r="H272"/>
      <c r="I272"/>
    </row>
    <row r="273" spans="1:9" x14ac:dyDescent="0.35">
      <c r="A273"/>
      <c r="E273"/>
      <c r="F273"/>
      <c r="G273"/>
      <c r="H273"/>
      <c r="I273"/>
    </row>
    <row r="274" spans="1:9" x14ac:dyDescent="0.35">
      <c r="A274"/>
      <c r="E274"/>
      <c r="F274"/>
      <c r="G274"/>
      <c r="H274"/>
      <c r="I274"/>
    </row>
    <row r="275" spans="1:9" x14ac:dyDescent="0.35">
      <c r="A275"/>
      <c r="E275"/>
      <c r="F275"/>
      <c r="G275"/>
      <c r="H275"/>
      <c r="I275"/>
    </row>
    <row r="276" spans="1:9" x14ac:dyDescent="0.35">
      <c r="A276"/>
      <c r="E276"/>
      <c r="F276"/>
      <c r="G276"/>
      <c r="H276"/>
      <c r="I276"/>
    </row>
    <row r="277" spans="1:9" x14ac:dyDescent="0.35">
      <c r="A277"/>
      <c r="E277"/>
      <c r="F277"/>
      <c r="G277"/>
      <c r="H277"/>
      <c r="I277"/>
    </row>
    <row r="278" spans="1:9" x14ac:dyDescent="0.35">
      <c r="A278"/>
      <c r="E278"/>
      <c r="F278"/>
      <c r="G278"/>
      <c r="H278"/>
      <c r="I278"/>
    </row>
    <row r="279" spans="1:9" x14ac:dyDescent="0.35">
      <c r="A279"/>
      <c r="E279"/>
      <c r="F279"/>
      <c r="G279"/>
      <c r="H279"/>
      <c r="I279"/>
    </row>
    <row r="280" spans="1:9" x14ac:dyDescent="0.35">
      <c r="A280"/>
      <c r="E280"/>
      <c r="F280"/>
      <c r="G280"/>
      <c r="H280"/>
      <c r="I280"/>
    </row>
    <row r="281" spans="1:9" x14ac:dyDescent="0.35">
      <c r="A281"/>
      <c r="E281"/>
      <c r="F281"/>
      <c r="G281"/>
      <c r="H281"/>
      <c r="I281"/>
    </row>
    <row r="282" spans="1:9" x14ac:dyDescent="0.35">
      <c r="A282"/>
      <c r="E282"/>
      <c r="F282"/>
      <c r="G282"/>
      <c r="H282"/>
      <c r="I282"/>
    </row>
    <row r="283" spans="1:9" x14ac:dyDescent="0.35">
      <c r="A283"/>
      <c r="E283"/>
      <c r="F283"/>
      <c r="G283"/>
      <c r="H283"/>
      <c r="I283"/>
    </row>
    <row r="284" spans="1:9" x14ac:dyDescent="0.35">
      <c r="A284"/>
      <c r="E284"/>
      <c r="F284"/>
      <c r="G284"/>
      <c r="H284"/>
      <c r="I284"/>
    </row>
    <row r="285" spans="1:9" x14ac:dyDescent="0.35">
      <c r="A285"/>
      <c r="E285"/>
      <c r="F285"/>
      <c r="G285"/>
      <c r="H285"/>
      <c r="I285"/>
    </row>
    <row r="286" spans="1:9" x14ac:dyDescent="0.35">
      <c r="A286"/>
      <c r="E286"/>
      <c r="F286"/>
      <c r="G286"/>
      <c r="H286"/>
      <c r="I286"/>
    </row>
    <row r="287" spans="1:9" x14ac:dyDescent="0.35">
      <c r="A287"/>
      <c r="E287"/>
      <c r="F287"/>
      <c r="G287"/>
      <c r="H287"/>
      <c r="I287"/>
    </row>
    <row r="288" spans="1:9" x14ac:dyDescent="0.35">
      <c r="A288"/>
      <c r="E288"/>
      <c r="F288"/>
      <c r="G288"/>
      <c r="H288"/>
      <c r="I288"/>
    </row>
    <row r="289" spans="1:9" x14ac:dyDescent="0.35">
      <c r="A289"/>
      <c r="E289"/>
      <c r="F289"/>
      <c r="G289"/>
      <c r="H289"/>
      <c r="I289"/>
    </row>
    <row r="290" spans="1:9" x14ac:dyDescent="0.35">
      <c r="A290"/>
      <c r="E290"/>
      <c r="F290"/>
      <c r="G290"/>
      <c r="H290"/>
      <c r="I290"/>
    </row>
    <row r="291" spans="1:9" x14ac:dyDescent="0.35">
      <c r="A291"/>
      <c r="E291"/>
      <c r="F291"/>
      <c r="G291"/>
      <c r="H291"/>
      <c r="I291"/>
    </row>
    <row r="292" spans="1:9" x14ac:dyDescent="0.35">
      <c r="A292"/>
      <c r="E292"/>
      <c r="F292"/>
      <c r="G292"/>
      <c r="H292"/>
      <c r="I292"/>
    </row>
    <row r="293" spans="1:9" x14ac:dyDescent="0.35">
      <c r="A293"/>
      <c r="E293"/>
      <c r="F293"/>
      <c r="G293"/>
      <c r="H293"/>
      <c r="I293"/>
    </row>
    <row r="294" spans="1:9" x14ac:dyDescent="0.35">
      <c r="A294"/>
      <c r="E294"/>
      <c r="F294"/>
      <c r="G294"/>
      <c r="H294"/>
      <c r="I294"/>
    </row>
    <row r="295" spans="1:9" x14ac:dyDescent="0.35">
      <c r="A295"/>
      <c r="E295"/>
      <c r="F295"/>
      <c r="G295"/>
      <c r="H295"/>
      <c r="I295"/>
    </row>
    <row r="296" spans="1:9" x14ac:dyDescent="0.35">
      <c r="A296"/>
      <c r="E296"/>
      <c r="F296"/>
      <c r="G296"/>
      <c r="H296"/>
      <c r="I296"/>
    </row>
    <row r="297" spans="1:9" x14ac:dyDescent="0.35">
      <c r="A297"/>
      <c r="E297"/>
      <c r="F297"/>
      <c r="G297"/>
      <c r="H297"/>
      <c r="I297"/>
    </row>
    <row r="298" spans="1:9" x14ac:dyDescent="0.35">
      <c r="A298"/>
      <c r="E298"/>
      <c r="F298"/>
      <c r="G298"/>
      <c r="H298"/>
      <c r="I298"/>
    </row>
    <row r="299" spans="1:9" x14ac:dyDescent="0.35">
      <c r="A299"/>
      <c r="E299"/>
      <c r="F299"/>
      <c r="G299"/>
      <c r="H299"/>
      <c r="I299"/>
    </row>
    <row r="300" spans="1:9" x14ac:dyDescent="0.35">
      <c r="A300"/>
      <c r="E300"/>
      <c r="F300"/>
      <c r="G300"/>
      <c r="H300"/>
      <c r="I300"/>
    </row>
    <row r="301" spans="1:9" x14ac:dyDescent="0.35">
      <c r="A301"/>
      <c r="E301"/>
      <c r="F301"/>
      <c r="G301"/>
      <c r="H301"/>
      <c r="I301"/>
    </row>
    <row r="302" spans="1:9" x14ac:dyDescent="0.35">
      <c r="A302"/>
      <c r="E302"/>
      <c r="F302"/>
      <c r="G302"/>
      <c r="H302"/>
      <c r="I302"/>
    </row>
    <row r="303" spans="1:9" x14ac:dyDescent="0.35">
      <c r="A303"/>
      <c r="E303"/>
      <c r="F303"/>
      <c r="G303"/>
      <c r="H303"/>
      <c r="I303"/>
    </row>
    <row r="304" spans="1:9" x14ac:dyDescent="0.35">
      <c r="A304"/>
      <c r="E304"/>
      <c r="F304"/>
      <c r="G304"/>
      <c r="H304"/>
      <c r="I304"/>
    </row>
    <row r="305" spans="1:9" x14ac:dyDescent="0.35">
      <c r="A305"/>
      <c r="E305"/>
      <c r="F305"/>
      <c r="G305"/>
      <c r="H305"/>
      <c r="I305"/>
    </row>
    <row r="306" spans="1:9" x14ac:dyDescent="0.35">
      <c r="A306"/>
      <c r="E306"/>
      <c r="F306"/>
      <c r="G306"/>
      <c r="H306"/>
      <c r="I306"/>
    </row>
    <row r="307" spans="1:9" x14ac:dyDescent="0.35">
      <c r="A307"/>
      <c r="E307"/>
      <c r="F307"/>
      <c r="G307"/>
      <c r="H307"/>
      <c r="I307"/>
    </row>
    <row r="308" spans="1:9" x14ac:dyDescent="0.35">
      <c r="A308"/>
      <c r="E308"/>
      <c r="F308"/>
      <c r="G308"/>
      <c r="H308"/>
      <c r="I308"/>
    </row>
    <row r="309" spans="1:9" x14ac:dyDescent="0.35">
      <c r="A309"/>
      <c r="E309"/>
      <c r="F309"/>
      <c r="G309"/>
      <c r="H309"/>
      <c r="I309"/>
    </row>
    <row r="310" spans="1:9" x14ac:dyDescent="0.35">
      <c r="A310"/>
      <c r="E310"/>
      <c r="F310"/>
      <c r="G310"/>
      <c r="H310"/>
      <c r="I310"/>
    </row>
    <row r="311" spans="1:9" x14ac:dyDescent="0.35">
      <c r="A311"/>
      <c r="E311"/>
      <c r="F311"/>
      <c r="G311"/>
      <c r="H311"/>
      <c r="I311"/>
    </row>
    <row r="312" spans="1:9" x14ac:dyDescent="0.35">
      <c r="A312"/>
      <c r="E312"/>
      <c r="F312"/>
      <c r="G312"/>
      <c r="H312"/>
      <c r="I312"/>
    </row>
    <row r="313" spans="1:9" x14ac:dyDescent="0.35">
      <c r="A313"/>
      <c r="E313"/>
      <c r="F313"/>
      <c r="G313"/>
      <c r="H313"/>
      <c r="I313"/>
    </row>
    <row r="314" spans="1:9" x14ac:dyDescent="0.35">
      <c r="A314"/>
      <c r="E314"/>
      <c r="F314"/>
      <c r="G314"/>
      <c r="H314"/>
      <c r="I314"/>
    </row>
    <row r="315" spans="1:9" x14ac:dyDescent="0.35">
      <c r="A315"/>
      <c r="E315"/>
      <c r="F315"/>
      <c r="G315"/>
      <c r="H315"/>
      <c r="I315"/>
    </row>
    <row r="316" spans="1:9" x14ac:dyDescent="0.35">
      <c r="A316"/>
      <c r="E316"/>
      <c r="F316"/>
      <c r="G316"/>
      <c r="H316"/>
      <c r="I316"/>
    </row>
    <row r="317" spans="1:9" x14ac:dyDescent="0.35">
      <c r="A317"/>
      <c r="E317"/>
      <c r="F317"/>
      <c r="G317"/>
      <c r="H317"/>
      <c r="I317"/>
    </row>
    <row r="318" spans="1:9" x14ac:dyDescent="0.35">
      <c r="A318"/>
      <c r="E318"/>
      <c r="F318"/>
      <c r="G318"/>
      <c r="H318"/>
      <c r="I318"/>
    </row>
    <row r="319" spans="1:9" x14ac:dyDescent="0.35">
      <c r="A319"/>
      <c r="E319"/>
      <c r="F319"/>
      <c r="G319"/>
      <c r="H319"/>
      <c r="I319"/>
    </row>
    <row r="320" spans="1:9" x14ac:dyDescent="0.35">
      <c r="A320"/>
      <c r="E320"/>
      <c r="F320"/>
      <c r="G320"/>
      <c r="H320"/>
      <c r="I320"/>
    </row>
    <row r="321" spans="1:9" x14ac:dyDescent="0.35">
      <c r="A321"/>
      <c r="E321"/>
      <c r="F321"/>
      <c r="G321"/>
      <c r="H321"/>
      <c r="I321"/>
    </row>
    <row r="322" spans="1:9" x14ac:dyDescent="0.35">
      <c r="A322"/>
      <c r="E322"/>
      <c r="F322"/>
      <c r="G322"/>
      <c r="H322"/>
      <c r="I322"/>
    </row>
    <row r="323" spans="1:9" x14ac:dyDescent="0.35">
      <c r="A323"/>
      <c r="E323"/>
      <c r="F323"/>
      <c r="G323"/>
      <c r="H323"/>
      <c r="I323"/>
    </row>
    <row r="324" spans="1:9" x14ac:dyDescent="0.35">
      <c r="A324"/>
      <c r="E324"/>
      <c r="F324"/>
      <c r="G324"/>
      <c r="H324"/>
      <c r="I324"/>
    </row>
    <row r="325" spans="1:9" x14ac:dyDescent="0.35">
      <c r="A325"/>
      <c r="E325"/>
      <c r="F325"/>
      <c r="G325"/>
      <c r="H325"/>
      <c r="I325"/>
    </row>
    <row r="326" spans="1:9" x14ac:dyDescent="0.35">
      <c r="A326"/>
      <c r="E326"/>
      <c r="F326"/>
      <c r="G326"/>
      <c r="H326"/>
      <c r="I326"/>
    </row>
    <row r="327" spans="1:9" x14ac:dyDescent="0.35">
      <c r="A327"/>
      <c r="E327"/>
      <c r="F327"/>
      <c r="G327"/>
      <c r="H327"/>
      <c r="I327"/>
    </row>
    <row r="328" spans="1:9" x14ac:dyDescent="0.35">
      <c r="A328"/>
      <c r="E328"/>
      <c r="F328"/>
      <c r="G328"/>
      <c r="H328"/>
      <c r="I328"/>
    </row>
    <row r="329" spans="1:9" x14ac:dyDescent="0.35">
      <c r="A329"/>
      <c r="E329"/>
      <c r="F329"/>
      <c r="G329"/>
      <c r="H329"/>
      <c r="I329"/>
    </row>
    <row r="330" spans="1:9" x14ac:dyDescent="0.35">
      <c r="A330"/>
      <c r="E330"/>
      <c r="F330"/>
      <c r="G330"/>
      <c r="H330"/>
      <c r="I330"/>
    </row>
    <row r="331" spans="1:9" x14ac:dyDescent="0.35">
      <c r="A331"/>
      <c r="E331"/>
      <c r="F331"/>
      <c r="G331"/>
      <c r="H331"/>
      <c r="I331"/>
    </row>
    <row r="332" spans="1:9" x14ac:dyDescent="0.35">
      <c r="A332"/>
      <c r="E332"/>
      <c r="F332"/>
      <c r="G332"/>
      <c r="H332"/>
      <c r="I332"/>
    </row>
    <row r="333" spans="1:9" x14ac:dyDescent="0.35">
      <c r="A333"/>
      <c r="E333"/>
      <c r="F333"/>
      <c r="G333"/>
      <c r="H333"/>
      <c r="I333"/>
    </row>
    <row r="334" spans="1:9" x14ac:dyDescent="0.35">
      <c r="A334"/>
      <c r="E334"/>
      <c r="F334"/>
      <c r="G334"/>
      <c r="H334"/>
      <c r="I334"/>
    </row>
    <row r="335" spans="1:9" x14ac:dyDescent="0.35">
      <c r="A335"/>
      <c r="E335"/>
      <c r="F335"/>
      <c r="G335"/>
      <c r="H335"/>
      <c r="I335"/>
    </row>
    <row r="336" spans="1:9" x14ac:dyDescent="0.35">
      <c r="A336"/>
      <c r="E336"/>
      <c r="F336"/>
      <c r="G336"/>
      <c r="H336"/>
      <c r="I336"/>
    </row>
    <row r="337" spans="1:9" x14ac:dyDescent="0.35">
      <c r="A337"/>
      <c r="E337"/>
      <c r="F337"/>
      <c r="G337"/>
      <c r="H337"/>
      <c r="I337"/>
    </row>
    <row r="338" spans="1:9" x14ac:dyDescent="0.35">
      <c r="A338"/>
      <c r="E338"/>
      <c r="F338"/>
      <c r="G338"/>
      <c r="H338"/>
      <c r="I338"/>
    </row>
    <row r="339" spans="1:9" x14ac:dyDescent="0.35">
      <c r="A339"/>
      <c r="E339"/>
      <c r="F339"/>
      <c r="G339"/>
      <c r="H339"/>
      <c r="I339"/>
    </row>
    <row r="340" spans="1:9" x14ac:dyDescent="0.35">
      <c r="A340"/>
      <c r="E340"/>
      <c r="F340"/>
      <c r="G340"/>
      <c r="H340"/>
      <c r="I340"/>
    </row>
    <row r="341" spans="1:9" x14ac:dyDescent="0.35">
      <c r="A341"/>
      <c r="E341"/>
      <c r="F341"/>
      <c r="G341"/>
      <c r="H341"/>
      <c r="I341"/>
    </row>
    <row r="342" spans="1:9" x14ac:dyDescent="0.35">
      <c r="A342"/>
      <c r="E342"/>
      <c r="F342"/>
      <c r="G342"/>
      <c r="H342"/>
      <c r="I342"/>
    </row>
    <row r="343" spans="1:9" x14ac:dyDescent="0.35">
      <c r="A343"/>
      <c r="E343"/>
      <c r="F343"/>
      <c r="G343"/>
      <c r="H343"/>
      <c r="I343"/>
    </row>
    <row r="344" spans="1:9" x14ac:dyDescent="0.35">
      <c r="A344"/>
      <c r="E344"/>
      <c r="F344"/>
      <c r="G344"/>
      <c r="H344"/>
      <c r="I344"/>
    </row>
    <row r="345" spans="1:9" x14ac:dyDescent="0.35">
      <c r="A345"/>
      <c r="E345"/>
      <c r="F345"/>
      <c r="G345"/>
      <c r="H345"/>
      <c r="I345"/>
    </row>
    <row r="346" spans="1:9" x14ac:dyDescent="0.35">
      <c r="A346"/>
      <c r="E346"/>
      <c r="F346"/>
      <c r="G346"/>
      <c r="H346"/>
      <c r="I346"/>
    </row>
    <row r="347" spans="1:9" x14ac:dyDescent="0.35">
      <c r="A347"/>
      <c r="E347"/>
      <c r="F347"/>
      <c r="G347"/>
      <c r="H347"/>
      <c r="I347"/>
    </row>
    <row r="348" spans="1:9" x14ac:dyDescent="0.35">
      <c r="A348"/>
      <c r="E348"/>
      <c r="F348"/>
      <c r="G348"/>
      <c r="H348"/>
      <c r="I348"/>
    </row>
    <row r="349" spans="1:9" x14ac:dyDescent="0.35">
      <c r="A349"/>
      <c r="E349"/>
      <c r="F349"/>
      <c r="G349"/>
      <c r="H349"/>
      <c r="I349"/>
    </row>
    <row r="350" spans="1:9" x14ac:dyDescent="0.35">
      <c r="A350"/>
      <c r="E350"/>
      <c r="F350"/>
      <c r="G350"/>
      <c r="H350"/>
      <c r="I350"/>
    </row>
    <row r="351" spans="1:9" x14ac:dyDescent="0.35">
      <c r="A351"/>
      <c r="E351"/>
      <c r="F351"/>
      <c r="G351"/>
      <c r="H351"/>
      <c r="I351"/>
    </row>
    <row r="352" spans="1:9" x14ac:dyDescent="0.35">
      <c r="A352"/>
      <c r="E352"/>
      <c r="F352"/>
      <c r="G352"/>
      <c r="H352"/>
      <c r="I352"/>
    </row>
    <row r="353" spans="1:9" x14ac:dyDescent="0.35">
      <c r="A353"/>
      <c r="E353"/>
      <c r="F353"/>
      <c r="G353"/>
      <c r="H353"/>
      <c r="I353"/>
    </row>
    <row r="354" spans="1:9" x14ac:dyDescent="0.35">
      <c r="A354"/>
      <c r="E354"/>
      <c r="F354"/>
      <c r="G354"/>
      <c r="H354"/>
      <c r="I354"/>
    </row>
    <row r="355" spans="1:9" x14ac:dyDescent="0.35">
      <c r="A355"/>
      <c r="E355"/>
      <c r="F355"/>
      <c r="G355"/>
      <c r="H355"/>
      <c r="I355"/>
    </row>
    <row r="356" spans="1:9" x14ac:dyDescent="0.35">
      <c r="A356"/>
      <c r="E356"/>
      <c r="F356"/>
      <c r="G356"/>
      <c r="H356"/>
      <c r="I356"/>
    </row>
    <row r="357" spans="1:9" x14ac:dyDescent="0.35">
      <c r="A357"/>
      <c r="E357"/>
      <c r="F357"/>
      <c r="G357"/>
      <c r="H357"/>
      <c r="I357"/>
    </row>
    <row r="358" spans="1:9" x14ac:dyDescent="0.35">
      <c r="A358"/>
      <c r="E358"/>
      <c r="F358"/>
      <c r="G358"/>
      <c r="H358"/>
      <c r="I358"/>
    </row>
    <row r="359" spans="1:9" x14ac:dyDescent="0.35">
      <c r="A359"/>
      <c r="E359"/>
      <c r="F359"/>
      <c r="G359"/>
      <c r="H359"/>
      <c r="I359"/>
    </row>
    <row r="360" spans="1:9" x14ac:dyDescent="0.35">
      <c r="A360"/>
    </row>
    <row r="361" spans="1:9" x14ac:dyDescent="0.35">
      <c r="A361"/>
    </row>
    <row r="362" spans="1:9" x14ac:dyDescent="0.35">
      <c r="A362"/>
    </row>
    <row r="363" spans="1:9" x14ac:dyDescent="0.35">
      <c r="A363"/>
    </row>
    <row r="364" spans="1:9" x14ac:dyDescent="0.35">
      <c r="A364"/>
    </row>
    <row r="365" spans="1:9" x14ac:dyDescent="0.35">
      <c r="A365"/>
    </row>
    <row r="366" spans="1:9" x14ac:dyDescent="0.35">
      <c r="A366"/>
    </row>
    <row r="367" spans="1:9" x14ac:dyDescent="0.35">
      <c r="A367"/>
    </row>
    <row r="368" spans="1:9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A897A-3978-4EED-B27B-8748048845B8}">
  <sheetPr codeName="Sheet11"/>
  <dimension ref="B2:C6"/>
  <sheetViews>
    <sheetView workbookViewId="0">
      <selection activeCell="C2" sqref="C2"/>
    </sheetView>
  </sheetViews>
  <sheetFormatPr defaultRowHeight="14.5" x14ac:dyDescent="0.35"/>
  <cols>
    <col min="2" max="2" width="16.36328125" customWidth="1"/>
  </cols>
  <sheetData>
    <row r="2" spans="2:3" x14ac:dyDescent="0.35">
      <c r="B2" s="9" t="s">
        <v>597</v>
      </c>
      <c r="C2" s="10">
        <v>10</v>
      </c>
    </row>
    <row r="6" spans="2:3" x14ac:dyDescent="0.35">
      <c r="B6" t="s">
        <v>598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97465-C32E-4892-BD2B-0FF9AD756D3D}">
  <sheetPr codeName="Sheet1"/>
  <dimension ref="B2:D2"/>
  <sheetViews>
    <sheetView workbookViewId="0">
      <selection activeCell="L6" sqref="L6"/>
    </sheetView>
  </sheetViews>
  <sheetFormatPr defaultRowHeight="14.5" x14ac:dyDescent="0.35"/>
  <cols>
    <col min="2" max="2" width="14.26953125" bestFit="1" customWidth="1"/>
  </cols>
  <sheetData>
    <row r="2" spans="2:4" x14ac:dyDescent="0.35">
      <c r="B2" s="4" t="str">
        <f>"This is a Formula"</f>
        <v>This is a Formula</v>
      </c>
      <c r="D2" t="s">
        <v>599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Sheet5</vt:lpstr>
      <vt:lpstr>Sheet2</vt:lpstr>
      <vt:lpstr>Sheet1</vt:lpstr>
      <vt:lpstr>reprop_formulas</vt:lpstr>
      <vt:lpstr>click_to_filter</vt:lpstr>
      <vt:lpstr>click_to_filter_pt</vt:lpstr>
      <vt:lpstr>undo</vt:lpstr>
      <vt:lpstr>force_paste_values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White, Patrick</dc:creator>
  <cp:lastModifiedBy>White, Patrick</cp:lastModifiedBy>
  <dcterms:created xsi:type="dcterms:W3CDTF">2024-06-19T15:57:21Z</dcterms:created>
  <dcterms:modified xsi:type="dcterms:W3CDTF">2024-07-30T17:40:00Z</dcterms:modified>
</cp:coreProperties>
</file>
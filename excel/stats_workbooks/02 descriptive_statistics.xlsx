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white\Desktop\Excel\02 Essential Statistics in Excel\workbooks\"/>
    </mc:Choice>
  </mc:AlternateContent>
  <xr:revisionPtr revIDLastSave="0" documentId="13_ncr:1_{79E5D757-35C0-4C44-9FBF-00911DA2034C}" xr6:coauthVersionLast="47" xr6:coauthVersionMax="47" xr10:uidLastSave="{00000000-0000-0000-0000-000000000000}"/>
  <bookViews>
    <workbookView xWindow="-110" yWindow="-110" windowWidth="19420" windowHeight="10420" tabRatio="859" xr2:uid="{7F0827DD-66A8-41C2-9718-8F10EE8784EC}"/>
  </bookViews>
  <sheets>
    <sheet name="centrality" sheetId="19" r:id="rId1"/>
    <sheet name="percentile" sheetId="9" r:id="rId2"/>
    <sheet name="variance &amp; stdev" sheetId="12" r:id="rId3"/>
    <sheet name="covar and correl" sheetId="13" r:id="rId4"/>
    <sheet name="corr shift &amp; scale invariance" sheetId="25" r:id="rId5"/>
    <sheet name="corr matrix" sheetId="23" r:id="rId6"/>
    <sheet name="partial corr" sheetId="24" r:id="rId7"/>
    <sheet name="z-standardization" sheetId="17" r:id="rId8"/>
    <sheet name="minmax scaling" sheetId="1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5" l="1"/>
  <c r="C5" i="25"/>
  <c r="D5" i="25"/>
  <c r="D2" i="25" s="1"/>
  <c r="E5" i="25"/>
  <c r="E2" i="25" s="1"/>
  <c r="C6" i="25"/>
  <c r="D6" i="25"/>
  <c r="E6" i="25"/>
  <c r="C7" i="25"/>
  <c r="D7" i="25"/>
  <c r="E7" i="25"/>
  <c r="C8" i="25"/>
  <c r="D8" i="25"/>
  <c r="E8" i="25"/>
  <c r="C9" i="25"/>
  <c r="D9" i="25"/>
  <c r="E9" i="25"/>
  <c r="C10" i="25"/>
  <c r="D10" i="25"/>
  <c r="E10" i="25"/>
  <c r="I5" i="24" l="1"/>
  <c r="I10" i="24" s="1"/>
  <c r="I4" i="24"/>
  <c r="I9" i="24" s="1"/>
  <c r="I3" i="24"/>
  <c r="I8" i="24" s="1"/>
  <c r="E12" i="23"/>
  <c r="D12" i="23"/>
  <c r="E11" i="23"/>
  <c r="D11" i="23"/>
  <c r="F11" i="23" s="1"/>
  <c r="E10" i="23"/>
  <c r="D10" i="23"/>
  <c r="F10" i="23" s="1"/>
  <c r="E9" i="23"/>
  <c r="F9" i="23" s="1"/>
  <c r="D9" i="23"/>
  <c r="E8" i="23"/>
  <c r="D8" i="23"/>
  <c r="E7" i="23"/>
  <c r="D7" i="23"/>
  <c r="E6" i="23"/>
  <c r="D6" i="23"/>
  <c r="F6" i="23" s="1"/>
  <c r="E5" i="23"/>
  <c r="D5" i="23"/>
  <c r="E4" i="23"/>
  <c r="F4" i="23" s="1"/>
  <c r="D4" i="23"/>
  <c r="E3" i="23"/>
  <c r="D3" i="23"/>
  <c r="F5" i="23" l="1"/>
  <c r="F3" i="23"/>
  <c r="F8" i="23"/>
  <c r="F7" i="23"/>
  <c r="F12" i="23"/>
  <c r="E5" i="9" l="1"/>
  <c r="E8" i="19"/>
  <c r="F12" i="18"/>
  <c r="E12" i="18"/>
  <c r="F11" i="18"/>
  <c r="E11" i="18"/>
  <c r="F10" i="18"/>
  <c r="E10" i="18"/>
  <c r="F9" i="18"/>
  <c r="E9" i="18"/>
  <c r="F8" i="18"/>
  <c r="E8" i="18"/>
  <c r="F7" i="18"/>
  <c r="E7" i="18"/>
  <c r="F6" i="18"/>
  <c r="E6" i="18"/>
  <c r="F5" i="18"/>
  <c r="E5" i="18"/>
  <c r="F4" i="18"/>
  <c r="E4" i="18"/>
  <c r="F3" i="18"/>
  <c r="E9" i="19" l="1"/>
  <c r="E7" i="19"/>
  <c r="E6" i="19"/>
  <c r="E5" i="19"/>
  <c r="E4" i="19"/>
  <c r="E3" i="19"/>
  <c r="E3" i="18" l="1"/>
  <c r="E4" i="17"/>
  <c r="F4" i="17"/>
  <c r="E5" i="17"/>
  <c r="F5" i="17"/>
  <c r="E6" i="17"/>
  <c r="F6" i="17"/>
  <c r="E7" i="17"/>
  <c r="F7" i="17"/>
  <c r="E8" i="17"/>
  <c r="F8" i="17"/>
  <c r="E9" i="17"/>
  <c r="F9" i="17"/>
  <c r="E10" i="17"/>
  <c r="F10" i="17"/>
  <c r="E11" i="17"/>
  <c r="F11" i="17"/>
  <c r="E12" i="17"/>
  <c r="F12" i="17"/>
  <c r="F3" i="17"/>
  <c r="E3" i="17"/>
  <c r="I9" i="13"/>
  <c r="I8" i="13"/>
  <c r="I7" i="13"/>
  <c r="I6" i="13"/>
  <c r="I5" i="13"/>
  <c r="I3" i="13"/>
  <c r="I4" i="13"/>
  <c r="F10" i="13"/>
  <c r="F11" i="13"/>
  <c r="E4" i="13"/>
  <c r="E5" i="13"/>
  <c r="E6" i="13"/>
  <c r="E7" i="13"/>
  <c r="E8" i="13"/>
  <c r="F8" i="13" s="1"/>
  <c r="E9" i="13"/>
  <c r="F9" i="13" s="1"/>
  <c r="E10" i="13"/>
  <c r="E11" i="13"/>
  <c r="E12" i="13"/>
  <c r="E3" i="13"/>
  <c r="D4" i="13"/>
  <c r="F4" i="13" s="1"/>
  <c r="D5" i="13"/>
  <c r="F5" i="13" s="1"/>
  <c r="D6" i="13"/>
  <c r="F6" i="13" s="1"/>
  <c r="D7" i="13"/>
  <c r="F7" i="13" s="1"/>
  <c r="D8" i="13"/>
  <c r="D9" i="13"/>
  <c r="D10" i="13"/>
  <c r="D11" i="13"/>
  <c r="D12" i="13"/>
  <c r="F12" i="13" s="1"/>
  <c r="D3" i="13"/>
  <c r="F3" i="13" s="1"/>
  <c r="G10" i="12"/>
  <c r="G9" i="12"/>
  <c r="G8" i="12"/>
  <c r="G7" i="12"/>
  <c r="G6" i="12"/>
  <c r="G5" i="12"/>
  <c r="G4" i="12"/>
  <c r="G3" i="12"/>
  <c r="D10" i="12"/>
  <c r="D11" i="12"/>
  <c r="C4" i="12"/>
  <c r="D4" i="12" s="1"/>
  <c r="C5" i="12"/>
  <c r="D5" i="12" s="1"/>
  <c r="C6" i="12"/>
  <c r="D6" i="12" s="1"/>
  <c r="C7" i="12"/>
  <c r="D7" i="12" s="1"/>
  <c r="C8" i="12"/>
  <c r="D8" i="12" s="1"/>
  <c r="C9" i="12"/>
  <c r="D9" i="12" s="1"/>
  <c r="C10" i="12"/>
  <c r="C11" i="12"/>
  <c r="C12" i="12"/>
  <c r="D12" i="12" s="1"/>
  <c r="C3" i="12"/>
  <c r="D3" i="12" s="1"/>
  <c r="E4" i="9"/>
  <c r="E3" i="9"/>
</calcChain>
</file>

<file path=xl/sharedStrings.xml><?xml version="1.0" encoding="utf-8"?>
<sst xmlns="http://schemas.openxmlformats.org/spreadsheetml/2006/main" count="122" uniqueCount="81">
  <si>
    <t>Formula</t>
  </si>
  <si>
    <t>Result</t>
  </si>
  <si>
    <t>Week 1</t>
  </si>
  <si>
    <t>Week 2</t>
  </si>
  <si>
    <t>Week 3</t>
  </si>
  <si>
    <t>=AVERAGE(B3:B12)</t>
  </si>
  <si>
    <t>=MEDIAN(B3:B12)</t>
  </si>
  <si>
    <t>=MODE(B3:B12)</t>
  </si>
  <si>
    <t>Data</t>
  </si>
  <si>
    <t>=PERCENTILE.INC(B3:B12,0.5)</t>
  </si>
  <si>
    <t>=PERCENTILE.INC(B3:B12,0.75)</t>
  </si>
  <si>
    <t>=QUARTILE.INC(B3:B12,3)</t>
  </si>
  <si>
    <t>=VAR.P(B3:B12)</t>
  </si>
  <si>
    <t>=VAR.S(B3:B12)</t>
  </si>
  <si>
    <t>=STDEV.P(B3:B12)</t>
  </si>
  <si>
    <t>=STDEV.S(B3:B12)</t>
  </si>
  <si>
    <t>x</t>
  </si>
  <si>
    <t>y</t>
  </si>
  <si>
    <t>=COVARIANCE.P(B3:B12,C3:C12)</t>
  </si>
  <si>
    <t>=COVARIANCE.S(B3:B12,C3:C12)</t>
  </si>
  <si>
    <t>=STDEV.S(B3:B12)*STDEV.S(C3:C12)</t>
  </si>
  <si>
    <t>Cereal X</t>
  </si>
  <si>
    <t>Cereal Y</t>
  </si>
  <si>
    <t>Scaled X</t>
  </si>
  <si>
    <t>Scaled Y</t>
  </si>
  <si>
    <t>=SUM(D3:D12) / COUNT(D3:D12)</t>
  </si>
  <si>
    <t>=SUM(D3:D12) / (COUNT(D3:D12)-1)</t>
  </si>
  <si>
    <t>=SQRT(G3)</t>
  </si>
  <si>
    <t>=SQRT(G5)</t>
  </si>
  <si>
    <t>x - avg(x)</t>
  </si>
  <si>
    <t>y - avg(y)</t>
  </si>
  <si>
    <t>product of diffs</t>
  </si>
  <si>
    <t>=SUM(F3:F12) / COUNT(F3:F12)</t>
  </si>
  <si>
    <t>=SUM(F3:F12) / (COUNT(F3:F12)-1)</t>
  </si>
  <si>
    <t>=I6/I7</t>
  </si>
  <si>
    <t>=CORREL(B3:B12,C3:C12)</t>
  </si>
  <si>
    <t>Week 4</t>
  </si>
  <si>
    <t>Week 5</t>
  </si>
  <si>
    <t>Week 6</t>
  </si>
  <si>
    <t>Week 7</t>
  </si>
  <si>
    <t>Week 8</t>
  </si>
  <si>
    <t>Week 9</t>
  </si>
  <si>
    <t>Week 10</t>
  </si>
  <si>
    <t>Week</t>
  </si>
  <si>
    <t>=SUM(B3:B12) / COUNT(B3:B12)</t>
  </si>
  <si>
    <t>=(1/COUNT(B3:B12)) * SUM(B3:B12)</t>
  </si>
  <si>
    <t>=COUNT(B3:B12)^-1 * SUM(B3:B12)</t>
  </si>
  <si>
    <t>Mean</t>
  </si>
  <si>
    <t>(Data - Mean)^2</t>
  </si>
  <si>
    <t>a</t>
  </si>
  <si>
    <t>b</t>
  </si>
  <si>
    <t>c</t>
  </si>
  <si>
    <t>d</t>
  </si>
  <si>
    <t>e</t>
  </si>
  <si>
    <t>z</t>
  </si>
  <si>
    <t>Measure</t>
  </si>
  <si>
    <t>r(x,y)</t>
  </si>
  <si>
    <t>r_xy = covariance(x,y) / ( stdev(x) * stdev(y) )</t>
  </si>
  <si>
    <t>=CORREL(B3:B9,C3:C9)</t>
  </si>
  <si>
    <t>r(x,z)</t>
  </si>
  <si>
    <t>r_xz = covariance(x,z) / ( stdev(x) * stdev(z) )</t>
  </si>
  <si>
    <t>=CORREL(B3:B9,D3:D9)</t>
  </si>
  <si>
    <t>r(y,z)</t>
  </si>
  <si>
    <t>r_yz = covariance(y,z) / ( stdev(y) * stdev(z) )</t>
  </si>
  <si>
    <t>=CORREL(C3:C9,D3:D9)</t>
  </si>
  <si>
    <t>Mathematical Formula</t>
  </si>
  <si>
    <t>Excel Formula</t>
  </si>
  <si>
    <t>partial r (x,y)</t>
  </si>
  <si>
    <t>(r_xy - r_xz r_yz) / ( sqrt( (1-r_xz^2)*(1-r_yz^2) ) )</t>
  </si>
  <si>
    <t>=(I3-I4*I5) / SQRT( (1-I4^2)*(1-I5^2) )</t>
  </si>
  <si>
    <t>partial r (x,z)</t>
  </si>
  <si>
    <t>(r_xz - r_xy r_yz) / ( sqrt( (1-r_xy^2)*(1-r_yz^2) ) )</t>
  </si>
  <si>
    <t>=(I4-I3*I5) / SQRT( (1-I3^2)*(1-I5^2) )</t>
  </si>
  <si>
    <t>partial r (y,z)</t>
  </si>
  <si>
    <t>(r_yz - r_xy r_xz) / ( sqrt( (1-r_xy^2)*(1-r_xz^2) ) )</t>
  </si>
  <si>
    <t>=(I5-I3*I4) / SQRT( (1-I3^2)*(1-I4^2) )</t>
  </si>
  <si>
    <t>times 2, plus 7</t>
  </si>
  <si>
    <t>plus 7</t>
  </si>
  <si>
    <t>times 2</t>
  </si>
  <si>
    <t>data</t>
  </si>
  <si>
    <t xml:space="preserve"> &lt;&lt; correlation to column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</si>
</sst>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quotePrefix="1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3" fontId="0" fillId="0" borderId="0" xfId="1" applyFont="1"/>
    <xf numFmtId="43" fontId="0" fillId="2" borderId="0" xfId="1" applyFont="1" applyFill="1"/>
    <xf numFmtId="2" fontId="0" fillId="0" borderId="0" xfId="0" applyNumberFormat="1"/>
    <xf numFmtId="43" fontId="2" fillId="0" borderId="2" xfId="1" applyFont="1" applyFill="1" applyBorder="1" applyAlignment="1">
      <alignment horizontal="center"/>
    </xf>
    <xf numFmtId="43" fontId="0" fillId="0" borderId="0" xfId="1" applyFont="1" applyFill="1" applyBorder="1" applyAlignment="1"/>
    <xf numFmtId="43" fontId="0" fillId="0" borderId="1" xfId="1" applyFont="1" applyFill="1" applyBorder="1" applyAlignmen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43" fontId="0" fillId="0" borderId="0" xfId="1" applyFont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43" fontId="0" fillId="3" borderId="0" xfId="1" applyFont="1" applyFill="1" applyAlignment="1">
      <alignment horizontal="left"/>
    </xf>
    <xf numFmtId="0" fontId="0" fillId="0" borderId="0" xfId="0" quotePrefix="1" applyAlignment="1">
      <alignment horizontal="left"/>
    </xf>
    <xf numFmtId="43" fontId="0" fillId="0" borderId="0" xfId="0" applyNumberFormat="1" applyAlignment="1">
      <alignment horizontal="left"/>
    </xf>
    <xf numFmtId="0" fontId="0" fillId="0" borderId="0" xfId="0" applyFill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4" borderId="0" xfId="1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 vs. c</a:t>
            </a:r>
          </a:p>
        </c:rich>
      </c:tx>
      <c:layout>
        <c:manualLayout>
          <c:xMode val="edge"/>
          <c:yMode val="edge"/>
          <c:x val="0.44427966933496199"/>
          <c:y val="2.8004667444574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25809758544725"/>
          <c:y val="0.14511085180863478"/>
          <c:w val="0.84563940933976056"/>
          <c:h val="0.72886814469078176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'corr matrix'!$D$2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 matrix'!$B$3:$B$12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'corr matrix'!$D$3:$D$12</c:f>
              <c:numCache>
                <c:formatCode>General</c:formatCode>
                <c:ptCount val="10"/>
                <c:pt idx="0">
                  <c:v>-4.4000000000000004</c:v>
                </c:pt>
                <c:pt idx="1">
                  <c:v>-3.4000000000000004</c:v>
                </c:pt>
                <c:pt idx="2">
                  <c:v>-3.4000000000000004</c:v>
                </c:pt>
                <c:pt idx="3">
                  <c:v>-1.4000000000000004</c:v>
                </c:pt>
                <c:pt idx="4">
                  <c:v>-0.40000000000000036</c:v>
                </c:pt>
                <c:pt idx="5">
                  <c:v>0.59999999999999964</c:v>
                </c:pt>
                <c:pt idx="6">
                  <c:v>1.5999999999999996</c:v>
                </c:pt>
                <c:pt idx="7">
                  <c:v>2.5999999999999996</c:v>
                </c:pt>
                <c:pt idx="8">
                  <c:v>3.5999999999999996</c:v>
                </c:pt>
                <c:pt idx="9">
                  <c:v>4.5999999999999996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5C-4C66-9AE2-104B8F1B2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090143"/>
        <c:axId val="1599089663"/>
      </c:scatterChart>
      <c:valAx>
        <c:axId val="159909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089663"/>
        <c:crosses val="autoZero"/>
        <c:crossBetween val="midCat"/>
      </c:valAx>
      <c:valAx>
        <c:axId val="159908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</a:t>
                </a:r>
              </a:p>
            </c:rich>
          </c:tx>
          <c:layout>
            <c:manualLayout>
              <c:xMode val="edge"/>
              <c:yMode val="edge"/>
              <c:x val="2.202107008092132E-3"/>
              <c:y val="0.438669594538722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09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5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 vs. d</a:t>
            </a:r>
          </a:p>
        </c:rich>
      </c:tx>
      <c:layout>
        <c:manualLayout>
          <c:xMode val="edge"/>
          <c:yMode val="edge"/>
          <c:x val="0.44427966933496199"/>
          <c:y val="2.8004667444574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25809758544725"/>
          <c:y val="0.14511085180863478"/>
          <c:w val="0.84563940933976056"/>
          <c:h val="0.72886814469078176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'corr matrix'!$E$2</c:f>
              <c:strCache>
                <c:ptCount val="1"/>
                <c:pt idx="0">
                  <c:v>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 matrix'!$B$3:$B$12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'corr matrix'!$E$3:$E$12</c:f>
              <c:numCache>
                <c:formatCode>General</c:formatCode>
                <c:ptCount val="10"/>
                <c:pt idx="0">
                  <c:v>-4.2</c:v>
                </c:pt>
                <c:pt idx="1">
                  <c:v>-3.2</c:v>
                </c:pt>
                <c:pt idx="2">
                  <c:v>-4.2</c:v>
                </c:pt>
                <c:pt idx="3">
                  <c:v>-0.20000000000000018</c:v>
                </c:pt>
                <c:pt idx="4">
                  <c:v>0.79999999999999982</c:v>
                </c:pt>
                <c:pt idx="5">
                  <c:v>1.7999999999999998</c:v>
                </c:pt>
                <c:pt idx="6">
                  <c:v>1.7999999999999998</c:v>
                </c:pt>
                <c:pt idx="7">
                  <c:v>0.79999999999999982</c:v>
                </c:pt>
                <c:pt idx="8">
                  <c:v>2.8</c:v>
                </c:pt>
                <c:pt idx="9">
                  <c:v>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2-47C7-B71C-6A9AB880E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090143"/>
        <c:axId val="1599089663"/>
      </c:scatterChart>
      <c:valAx>
        <c:axId val="159909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089663"/>
        <c:crosses val="autoZero"/>
        <c:crossBetween val="midCat"/>
      </c:valAx>
      <c:valAx>
        <c:axId val="159908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</a:t>
                </a:r>
              </a:p>
            </c:rich>
          </c:tx>
          <c:layout>
            <c:manualLayout>
              <c:xMode val="edge"/>
              <c:yMode val="edge"/>
              <c:x val="2.202107008092132E-3"/>
              <c:y val="0.438669594538722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09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5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 vs. e</a:t>
            </a:r>
          </a:p>
        </c:rich>
      </c:tx>
      <c:layout>
        <c:manualLayout>
          <c:xMode val="edge"/>
          <c:yMode val="edge"/>
          <c:x val="0.44427966933496199"/>
          <c:y val="2.8004667444574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25809758544725"/>
          <c:y val="0.14511085180863478"/>
          <c:w val="0.84563940933976056"/>
          <c:h val="0.72886814469078176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'corr matrix'!$F$2</c:f>
              <c:strCache>
                <c:ptCount val="1"/>
                <c:pt idx="0">
                  <c:v>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 matrix'!$B$3:$B$12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'corr matrix'!$F$3:$F$12</c:f>
              <c:numCache>
                <c:formatCode>General</c:formatCode>
                <c:ptCount val="10"/>
                <c:pt idx="0">
                  <c:v>18.480000000000004</c:v>
                </c:pt>
                <c:pt idx="1">
                  <c:v>10.880000000000003</c:v>
                </c:pt>
                <c:pt idx="2">
                  <c:v>14.280000000000003</c:v>
                </c:pt>
                <c:pt idx="3">
                  <c:v>0.2800000000000003</c:v>
                </c:pt>
                <c:pt idx="4">
                  <c:v>-0.32000000000000023</c:v>
                </c:pt>
                <c:pt idx="5">
                  <c:v>1.0799999999999992</c:v>
                </c:pt>
                <c:pt idx="6">
                  <c:v>2.879999999999999</c:v>
                </c:pt>
                <c:pt idx="7">
                  <c:v>2.0799999999999992</c:v>
                </c:pt>
                <c:pt idx="8">
                  <c:v>10.079999999999998</c:v>
                </c:pt>
                <c:pt idx="9">
                  <c:v>17.479999999999997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89-453C-8078-2FBB8571B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9090143"/>
        <c:axId val="1599089663"/>
      </c:scatterChart>
      <c:valAx>
        <c:axId val="159909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089663"/>
        <c:crosses val="autoZero"/>
        <c:crossBetween val="midCat"/>
      </c:valAx>
      <c:valAx>
        <c:axId val="159908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e</a:t>
                </a:r>
              </a:p>
            </c:rich>
          </c:tx>
          <c:layout>
            <c:manualLayout>
              <c:xMode val="edge"/>
              <c:yMode val="edge"/>
              <c:x val="2.202107008092132E-3"/>
              <c:y val="0.438669594538722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090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5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'partial corr'!$B$2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'partial corr'!$B$3:$B$9</c:f>
              <c:numCache>
                <c:formatCode>General</c:formatCode>
                <c:ptCount val="7"/>
                <c:pt idx="0">
                  <c:v>11</c:v>
                </c:pt>
                <c:pt idx="1">
                  <c:v>86</c:v>
                </c:pt>
                <c:pt idx="2">
                  <c:v>72</c:v>
                </c:pt>
                <c:pt idx="3">
                  <c:v>40</c:v>
                </c:pt>
                <c:pt idx="4">
                  <c:v>85</c:v>
                </c:pt>
                <c:pt idx="5">
                  <c:v>74</c:v>
                </c:pt>
                <c:pt idx="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96-4CBB-B8A2-3530FE725190}"/>
            </c:ext>
          </c:extLst>
        </c:ser>
        <c:ser>
          <c:idx val="1"/>
          <c:order val="1"/>
          <c:tx>
            <c:strRef>
              <c:f>'partial corr'!$C$2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'partial corr'!$C$3:$C$9</c:f>
              <c:numCache>
                <c:formatCode>General</c:formatCode>
                <c:ptCount val="7"/>
                <c:pt idx="0">
                  <c:v>17</c:v>
                </c:pt>
                <c:pt idx="1">
                  <c:v>258</c:v>
                </c:pt>
                <c:pt idx="2">
                  <c:v>108</c:v>
                </c:pt>
                <c:pt idx="3">
                  <c:v>90</c:v>
                </c:pt>
                <c:pt idx="4">
                  <c:v>128</c:v>
                </c:pt>
                <c:pt idx="5">
                  <c:v>82</c:v>
                </c:pt>
                <c:pt idx="6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96-4CBB-B8A2-3530FE725190}"/>
            </c:ext>
          </c:extLst>
        </c:ser>
        <c:ser>
          <c:idx val="2"/>
          <c:order val="2"/>
          <c:tx>
            <c:strRef>
              <c:f>'partial corr'!$D$2</c:f>
              <c:strCache>
                <c:ptCount val="1"/>
                <c:pt idx="0">
                  <c:v>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'partial corr'!$D$3:$D$9</c:f>
              <c:numCache>
                <c:formatCode>General</c:formatCode>
                <c:ptCount val="7"/>
                <c:pt idx="0">
                  <c:v>50</c:v>
                </c:pt>
                <c:pt idx="1">
                  <c:v>185</c:v>
                </c:pt>
                <c:pt idx="2">
                  <c:v>132</c:v>
                </c:pt>
                <c:pt idx="3">
                  <c:v>177</c:v>
                </c:pt>
                <c:pt idx="4">
                  <c:v>113</c:v>
                </c:pt>
                <c:pt idx="5">
                  <c:v>184</c:v>
                </c:pt>
                <c:pt idx="6">
                  <c:v>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96-4CBB-B8A2-3530FE725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7400623"/>
        <c:axId val="1627401103"/>
      </c:lineChart>
      <c:catAx>
        <c:axId val="1627400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401103"/>
        <c:crosses val="autoZero"/>
        <c:auto val="1"/>
        <c:lblAlgn val="ctr"/>
        <c:lblOffset val="100"/>
        <c:noMultiLvlLbl val="0"/>
      </c:catAx>
      <c:valAx>
        <c:axId val="162740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40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Week - Z-Standardized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'z-standardization'!$E$2</c:f>
              <c:strCache>
                <c:ptCount val="1"/>
                <c:pt idx="0">
                  <c:v>Scaled 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'z-standardization'!$B$3:$B$12</c:f>
              <c:strCache>
                <c:ptCount val="1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'z-standardization'!$E$3:$E$12</c:f>
              <c:numCache>
                <c:formatCode>_(* #,##0.00_);_(* \(#,##0.00\);_(* "-"??_);_(@_)</c:formatCode>
                <c:ptCount val="10"/>
                <c:pt idx="0">
                  <c:v>0.33817769493029487</c:v>
                </c:pt>
                <c:pt idx="1">
                  <c:v>-1.728463774088173</c:v>
                </c:pt>
                <c:pt idx="2">
                  <c:v>0.19727032204267206</c:v>
                </c:pt>
                <c:pt idx="3">
                  <c:v>0.15030119774679779</c:v>
                </c:pt>
                <c:pt idx="4">
                  <c:v>-1.3527107797211788</c:v>
                </c:pt>
                <c:pt idx="5">
                  <c:v>-0.36635916950781916</c:v>
                </c:pt>
                <c:pt idx="6">
                  <c:v>1.3245293051436544</c:v>
                </c:pt>
                <c:pt idx="7">
                  <c:v>0.47908506781791765</c:v>
                </c:pt>
                <c:pt idx="8">
                  <c:v>-0.36635916950781916</c:v>
                </c:pt>
                <c:pt idx="9">
                  <c:v>1.3245293051436544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1-4466-B0BA-24CAE330386B}"/>
            </c:ext>
          </c:extLst>
        </c:ser>
        <c:ser>
          <c:idx val="1"/>
          <c:order val="1"/>
          <c:tx>
            <c:strRef>
              <c:f>'z-standardization'!$F$2</c:f>
              <c:strCache>
                <c:ptCount val="1"/>
                <c:pt idx="0">
                  <c:v>Scaled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'z-standardization'!$B$3:$B$12</c:f>
              <c:strCache>
                <c:ptCount val="1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'z-standardization'!$F$3:$F$12</c:f>
              <c:numCache>
                <c:formatCode>_(* #,##0.00_);_(* \(#,##0.00\);_(* "-"??_);_(@_)</c:formatCode>
                <c:ptCount val="10"/>
                <c:pt idx="0">
                  <c:v>-0.13957028944152772</c:v>
                </c:pt>
                <c:pt idx="1">
                  <c:v>0.58199455645763176</c:v>
                </c:pt>
                <c:pt idx="2">
                  <c:v>-1.3015268253260897</c:v>
                </c:pt>
                <c:pt idx="3">
                  <c:v>-0.56641146588891778</c:v>
                </c:pt>
                <c:pt idx="4">
                  <c:v>2.9811129783627092E-2</c:v>
                </c:pt>
                <c:pt idx="5">
                  <c:v>0.12805235293421688</c:v>
                </c:pt>
                <c:pt idx="6">
                  <c:v>1.5305305041184987</c:v>
                </c:pt>
                <c:pt idx="7">
                  <c:v>-0.42074344535528468</c:v>
                </c:pt>
                <c:pt idx="8">
                  <c:v>1.506817105426977</c:v>
                </c:pt>
                <c:pt idx="9">
                  <c:v>-1.348953622709133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1-4466-B0BA-24CAE3303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44912"/>
        <c:axId val="262868736"/>
      </c:lineChart>
      <c:catAx>
        <c:axId val="172244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68736"/>
        <c:crosses val="autoZero"/>
        <c:auto val="1"/>
        <c:lblAlgn val="ctr"/>
        <c:lblOffset val="100"/>
        <c:noMultiLvlLbl val="0"/>
      </c:catAx>
      <c:valAx>
        <c:axId val="26286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4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Week - Unstandardized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'z-standardization'!$C$2</c:f>
              <c:strCache>
                <c:ptCount val="1"/>
                <c:pt idx="0">
                  <c:v>Cereal 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'z-standardization'!$B$3:$B$12</c:f>
              <c:strCache>
                <c:ptCount val="1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'z-standardization'!$C$3:$C$12</c:f>
              <c:numCache>
                <c:formatCode>General</c:formatCode>
                <c:ptCount val="10"/>
                <c:pt idx="0">
                  <c:v>47</c:v>
                </c:pt>
                <c:pt idx="1">
                  <c:v>3</c:v>
                </c:pt>
                <c:pt idx="2">
                  <c:v>44</c:v>
                </c:pt>
                <c:pt idx="3">
                  <c:v>43</c:v>
                </c:pt>
                <c:pt idx="4">
                  <c:v>11</c:v>
                </c:pt>
                <c:pt idx="5">
                  <c:v>32</c:v>
                </c:pt>
                <c:pt idx="6">
                  <c:v>68</c:v>
                </c:pt>
                <c:pt idx="7">
                  <c:v>50</c:v>
                </c:pt>
                <c:pt idx="8">
                  <c:v>32</c:v>
                </c:pt>
                <c:pt idx="9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9F-440C-8876-C624060E9A98}"/>
            </c:ext>
          </c:extLst>
        </c:ser>
        <c:ser>
          <c:idx val="1"/>
          <c:order val="1"/>
          <c:tx>
            <c:strRef>
              <c:f>'z-standardization'!$D$2</c:f>
              <c:strCache>
                <c:ptCount val="1"/>
                <c:pt idx="0">
                  <c:v>Cereal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'z-standardization'!$B$3:$B$12</c:f>
              <c:strCache>
                <c:ptCount val="1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'z-standardization'!$D$3:$D$12</c:f>
              <c:numCache>
                <c:formatCode>General</c:formatCode>
                <c:ptCount val="10"/>
                <c:pt idx="0">
                  <c:v>662</c:v>
                </c:pt>
                <c:pt idx="1">
                  <c:v>875</c:v>
                </c:pt>
                <c:pt idx="2">
                  <c:v>319</c:v>
                </c:pt>
                <c:pt idx="3">
                  <c:v>536</c:v>
                </c:pt>
                <c:pt idx="4">
                  <c:v>712</c:v>
                </c:pt>
                <c:pt idx="5">
                  <c:v>741</c:v>
                </c:pt>
                <c:pt idx="6">
                  <c:v>1155</c:v>
                </c:pt>
                <c:pt idx="7">
                  <c:v>579</c:v>
                </c:pt>
                <c:pt idx="8">
                  <c:v>1148</c:v>
                </c:pt>
                <c:pt idx="9">
                  <c:v>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9F-440C-8876-C624060E9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44912"/>
        <c:axId val="262868736"/>
      </c:lineChart>
      <c:catAx>
        <c:axId val="172244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68736"/>
        <c:crosses val="autoZero"/>
        <c:auto val="1"/>
        <c:lblAlgn val="ctr"/>
        <c:lblOffset val="100"/>
        <c:noMultiLvlLbl val="0"/>
      </c:catAx>
      <c:valAx>
        <c:axId val="26286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4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Week - Min/Max</a:t>
            </a:r>
            <a:r>
              <a:rPr lang="en-US" baseline="0"/>
              <a:t> Scaled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'minmax scaling'!$E$2</c:f>
              <c:strCache>
                <c:ptCount val="1"/>
                <c:pt idx="0">
                  <c:v>Scaled 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'minmax scaling'!$B$3:$B$12</c:f>
              <c:strCache>
                <c:ptCount val="1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'minmax scaling'!$E$3:$E$12</c:f>
              <c:numCache>
                <c:formatCode>_(* #,##0.00_);_(* \(#,##0.00\);_(* "-"??_);_(@_)</c:formatCode>
                <c:ptCount val="10"/>
                <c:pt idx="0">
                  <c:v>0.67692307692307696</c:v>
                </c:pt>
                <c:pt idx="1">
                  <c:v>0</c:v>
                </c:pt>
                <c:pt idx="2">
                  <c:v>0.63076923076923075</c:v>
                </c:pt>
                <c:pt idx="3">
                  <c:v>0.61538461538461542</c:v>
                </c:pt>
                <c:pt idx="4">
                  <c:v>0.12307692307692308</c:v>
                </c:pt>
                <c:pt idx="5">
                  <c:v>0.44615384615384618</c:v>
                </c:pt>
                <c:pt idx="6">
                  <c:v>1</c:v>
                </c:pt>
                <c:pt idx="7">
                  <c:v>0.72307692307692306</c:v>
                </c:pt>
                <c:pt idx="8">
                  <c:v>0.44615384615384618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5C-4C6C-BA93-50E99FF99A0B}"/>
            </c:ext>
          </c:extLst>
        </c:ser>
        <c:ser>
          <c:idx val="1"/>
          <c:order val="1"/>
          <c:tx>
            <c:strRef>
              <c:f>'minmax scaling'!$F$2</c:f>
              <c:strCache>
                <c:ptCount val="1"/>
                <c:pt idx="0">
                  <c:v>Scaled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'minmax scaling'!$B$3:$B$12</c:f>
              <c:strCache>
                <c:ptCount val="1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'minmax scaling'!$F$3:$F$12</c:f>
              <c:numCache>
                <c:formatCode>_(* #,##0.00_);_(* \(#,##0.00\);_(* "-"??_);_(@_)</c:formatCode>
                <c:ptCount val="10"/>
                <c:pt idx="0">
                  <c:v>0.42</c:v>
                </c:pt>
                <c:pt idx="1">
                  <c:v>0.6705882352941176</c:v>
                </c:pt>
                <c:pt idx="2">
                  <c:v>1.6470588235294119E-2</c:v>
                </c:pt>
                <c:pt idx="3">
                  <c:v>0.27176470588235296</c:v>
                </c:pt>
                <c:pt idx="4">
                  <c:v>0.4788235294117647</c:v>
                </c:pt>
                <c:pt idx="5">
                  <c:v>0.51294117647058823</c:v>
                </c:pt>
                <c:pt idx="6">
                  <c:v>1</c:v>
                </c:pt>
                <c:pt idx="7">
                  <c:v>0.32235294117647056</c:v>
                </c:pt>
                <c:pt idx="8">
                  <c:v>0.99176470588235299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5C-4C6C-BA93-50E99FF99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44912"/>
        <c:axId val="262868736"/>
      </c:lineChart>
      <c:catAx>
        <c:axId val="172244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68736"/>
        <c:crosses val="autoZero"/>
        <c:auto val="1"/>
        <c:lblAlgn val="ctr"/>
        <c:lblOffset val="100"/>
        <c:noMultiLvlLbl val="0"/>
      </c:catAx>
      <c:valAx>
        <c:axId val="26286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4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Week - Unscaled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'minmax scaling'!$C$2</c:f>
              <c:strCache>
                <c:ptCount val="1"/>
                <c:pt idx="0">
                  <c:v>Cereal 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'minmax scaling'!$B$3:$B$12</c:f>
              <c:strCache>
                <c:ptCount val="1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'minmax scaling'!$C$3:$C$12</c:f>
              <c:numCache>
                <c:formatCode>General</c:formatCode>
                <c:ptCount val="10"/>
                <c:pt idx="0">
                  <c:v>47</c:v>
                </c:pt>
                <c:pt idx="1">
                  <c:v>3</c:v>
                </c:pt>
                <c:pt idx="2">
                  <c:v>44</c:v>
                </c:pt>
                <c:pt idx="3">
                  <c:v>43</c:v>
                </c:pt>
                <c:pt idx="4">
                  <c:v>11</c:v>
                </c:pt>
                <c:pt idx="5">
                  <c:v>32</c:v>
                </c:pt>
                <c:pt idx="6">
                  <c:v>68</c:v>
                </c:pt>
                <c:pt idx="7">
                  <c:v>50</c:v>
                </c:pt>
                <c:pt idx="8">
                  <c:v>32</c:v>
                </c:pt>
                <c:pt idx="9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7-464F-906C-3EE62B1EABF6}"/>
            </c:ext>
          </c:extLst>
        </c:ser>
        <c:ser>
          <c:idx val="1"/>
          <c:order val="1"/>
          <c:tx>
            <c:strRef>
              <c:f>'minmax scaling'!$D$2</c:f>
              <c:strCache>
                <c:ptCount val="1"/>
                <c:pt idx="0">
                  <c:v>Cereal 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'minmax scaling'!$B$3:$B$12</c:f>
              <c:strCache>
                <c:ptCount val="1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'minmax scaling'!$D$3:$D$12</c:f>
              <c:numCache>
                <c:formatCode>General</c:formatCode>
                <c:ptCount val="10"/>
                <c:pt idx="0">
                  <c:v>662</c:v>
                </c:pt>
                <c:pt idx="1">
                  <c:v>875</c:v>
                </c:pt>
                <c:pt idx="2">
                  <c:v>319</c:v>
                </c:pt>
                <c:pt idx="3">
                  <c:v>536</c:v>
                </c:pt>
                <c:pt idx="4">
                  <c:v>712</c:v>
                </c:pt>
                <c:pt idx="5">
                  <c:v>741</c:v>
                </c:pt>
                <c:pt idx="6">
                  <c:v>1155</c:v>
                </c:pt>
                <c:pt idx="7">
                  <c:v>579</c:v>
                </c:pt>
                <c:pt idx="8">
                  <c:v>1148</c:v>
                </c:pt>
                <c:pt idx="9">
                  <c:v>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E7-464F-906C-3EE62B1EA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244912"/>
        <c:axId val="262868736"/>
      </c:lineChart>
      <c:catAx>
        <c:axId val="172244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68736"/>
        <c:crosses val="autoZero"/>
        <c:auto val="1"/>
        <c:lblAlgn val="ctr"/>
        <c:lblOffset val="100"/>
        <c:noMultiLvlLbl val="0"/>
      </c:catAx>
      <c:valAx>
        <c:axId val="26286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4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587375</xdr:colOff>
      <xdr:row>1</xdr:row>
      <xdr:rowOff>28575</xdr:rowOff>
    </xdr:from>
    <xdr:to>
      <xdr:col>21</xdr:col>
      <xdr:colOff>282575</xdr:colOff>
      <xdr:row>16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D7B9D1-937A-4417-A3E2-2681D3DE9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1</xdr:row>
      <xdr:rowOff>0</xdr:rowOff>
    </xdr:from>
    <xdr:to>
      <xdr:col>29</xdr:col>
      <xdr:colOff>302985</xdr:colOff>
      <xdr:row>15</xdr:row>
      <xdr:rowOff>156029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BC858A-3226-4ECF-8274-3EDFCC6D5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302985</xdr:colOff>
      <xdr:row>31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71C6E2-50DC-4BD1-9912-0D69F0B7D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171823</xdr:rowOff>
    </xdr:from>
    <xdr:to>
      <xdr:col>6</xdr:col>
      <xdr:colOff>2435412</xdr:colOff>
      <xdr:row>27</xdr:row>
      <xdr:rowOff>164353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41CF71-69DF-4C18-AFA9-6516E9B73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3174</xdr:rowOff>
    </xdr:from>
    <xdr:to>
      <xdr:col>16</xdr:col>
      <xdr:colOff>22412</xdr:colOff>
      <xdr:row>16</xdr:row>
      <xdr:rowOff>179293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CE2FC-1FF4-48E0-997B-209FE6E92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26</xdr:col>
      <xdr:colOff>12887</xdr:colOff>
      <xdr:row>16</xdr:row>
      <xdr:rowOff>176119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B11E81-E89D-434D-AFA0-A02760B9F6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3174</xdr:rowOff>
    </xdr:from>
    <xdr:to>
      <xdr:col>16</xdr:col>
      <xdr:colOff>22412</xdr:colOff>
      <xdr:row>16</xdr:row>
      <xdr:rowOff>179293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CB62C-C58D-408B-A80F-3B0CB6C31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26</xdr:col>
      <xdr:colOff>12887</xdr:colOff>
      <xdr:row>16</xdr:row>
      <xdr:rowOff>176119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7C86E7-0B3D-4E5F-AC67-55992CF16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D710-587B-40C5-A0A1-F2BD60FEA883}">
  <sheetPr codeName="Sheet1"/>
  <dimension ref="B2:E12"/>
  <sheetViews>
    <sheetView tabSelected="1" workbookViewId="0">
      <selection activeCell="D10" sqref="D10"/>
    </sheetView>
  </sheetViews>
  <sheetFormatPr defaultRowHeight="14.5" x14ac:dyDescent="0.35"/>
  <cols>
    <col min="1" max="1" width="3.26953125" customWidth="1"/>
    <col min="4" max="4" width="31.1796875" bestFit="1" customWidth="1"/>
  </cols>
  <sheetData>
    <row r="2" spans="2:5" x14ac:dyDescent="0.35">
      <c r="B2" s="2" t="s">
        <v>8</v>
      </c>
      <c r="D2" s="2" t="s">
        <v>0</v>
      </c>
      <c r="E2" s="2" t="s">
        <v>1</v>
      </c>
    </row>
    <row r="3" spans="2:5" x14ac:dyDescent="0.35">
      <c r="B3">
        <v>1</v>
      </c>
      <c r="D3" s="1" t="s">
        <v>5</v>
      </c>
      <c r="E3">
        <f>AVERAGE(B3:B12)</f>
        <v>14.4</v>
      </c>
    </row>
    <row r="4" spans="2:5" x14ac:dyDescent="0.35">
      <c r="B4">
        <v>2</v>
      </c>
      <c r="D4" s="1" t="s">
        <v>44</v>
      </c>
      <c r="E4">
        <f>SUM(B3:B12) / COUNT(B3:B12)</f>
        <v>14.4</v>
      </c>
    </row>
    <row r="5" spans="2:5" x14ac:dyDescent="0.35">
      <c r="B5">
        <v>2</v>
      </c>
      <c r="D5" s="1" t="s">
        <v>45</v>
      </c>
      <c r="E5">
        <f>(1/COUNT(B3:B12)) * SUM(B3:B12)</f>
        <v>14.4</v>
      </c>
    </row>
    <row r="6" spans="2:5" x14ac:dyDescent="0.35">
      <c r="B6">
        <v>4</v>
      </c>
      <c r="D6" s="1" t="s">
        <v>46</v>
      </c>
      <c r="E6" s="1">
        <f>COUNT(B3:B12)^-1 * SUM(B3:B12)</f>
        <v>14.4</v>
      </c>
    </row>
    <row r="7" spans="2:5" x14ac:dyDescent="0.35">
      <c r="B7">
        <v>5</v>
      </c>
      <c r="D7" s="1" t="s">
        <v>6</v>
      </c>
      <c r="E7">
        <f>MEDIAN(B3:B12)</f>
        <v>5.5</v>
      </c>
    </row>
    <row r="8" spans="2:5" x14ac:dyDescent="0.35">
      <c r="B8">
        <v>6</v>
      </c>
      <c r="D8" s="1" t="s">
        <v>9</v>
      </c>
      <c r="E8">
        <f>_xlfn.PERCENTILE.INC(B3:B12,0.5)</f>
        <v>5.5</v>
      </c>
    </row>
    <row r="9" spans="2:5" x14ac:dyDescent="0.35">
      <c r="B9">
        <v>7</v>
      </c>
      <c r="D9" s="1" t="s">
        <v>7</v>
      </c>
      <c r="E9">
        <f>MODE(B3:B12)</f>
        <v>2</v>
      </c>
    </row>
    <row r="10" spans="2:5" x14ac:dyDescent="0.35">
      <c r="B10">
        <v>8</v>
      </c>
    </row>
    <row r="11" spans="2:5" x14ac:dyDescent="0.35">
      <c r="B11">
        <v>9</v>
      </c>
    </row>
    <row r="12" spans="2:5" x14ac:dyDescent="0.35">
      <c r="B1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3A7FD-A82B-4018-8B2F-3F511709C3C6}">
  <sheetPr codeName="Sheet2"/>
  <dimension ref="B2:E12"/>
  <sheetViews>
    <sheetView workbookViewId="0">
      <selection activeCell="D18" sqref="D18"/>
    </sheetView>
  </sheetViews>
  <sheetFormatPr defaultRowHeight="14.5" x14ac:dyDescent="0.35"/>
  <cols>
    <col min="1" max="1" width="3.08984375" customWidth="1"/>
    <col min="4" max="4" width="26.453125" bestFit="1" customWidth="1"/>
  </cols>
  <sheetData>
    <row r="2" spans="2:5" x14ac:dyDescent="0.35">
      <c r="B2" s="2" t="s">
        <v>8</v>
      </c>
      <c r="D2" s="2" t="s">
        <v>0</v>
      </c>
      <c r="E2" s="2" t="s">
        <v>1</v>
      </c>
    </row>
    <row r="3" spans="2:5" x14ac:dyDescent="0.35">
      <c r="B3">
        <v>1</v>
      </c>
      <c r="D3" s="1" t="s">
        <v>9</v>
      </c>
      <c r="E3" s="1">
        <f>_xlfn.PERCENTILE.INC(B3:B12,0.5)</f>
        <v>5.5</v>
      </c>
    </row>
    <row r="4" spans="2:5" x14ac:dyDescent="0.35">
      <c r="B4">
        <v>2</v>
      </c>
      <c r="D4" s="1" t="s">
        <v>10</v>
      </c>
      <c r="E4">
        <f>_xlfn.PERCENTILE.INC(B3:B12,0.75)</f>
        <v>7.75</v>
      </c>
    </row>
    <row r="5" spans="2:5" x14ac:dyDescent="0.35">
      <c r="B5">
        <v>2</v>
      </c>
      <c r="D5" s="1" t="s">
        <v>11</v>
      </c>
      <c r="E5">
        <f>_xlfn.QUARTILE.INC(B3:B12,3)</f>
        <v>7.75</v>
      </c>
    </row>
    <row r="6" spans="2:5" x14ac:dyDescent="0.35">
      <c r="B6">
        <v>4</v>
      </c>
    </row>
    <row r="7" spans="2:5" x14ac:dyDescent="0.35">
      <c r="B7">
        <v>5</v>
      </c>
    </row>
    <row r="8" spans="2:5" x14ac:dyDescent="0.35">
      <c r="B8">
        <v>6</v>
      </c>
    </row>
    <row r="9" spans="2:5" x14ac:dyDescent="0.35">
      <c r="B9">
        <v>7</v>
      </c>
    </row>
    <row r="10" spans="2:5" x14ac:dyDescent="0.35">
      <c r="B10">
        <v>8</v>
      </c>
    </row>
    <row r="11" spans="2:5" x14ac:dyDescent="0.35">
      <c r="B11">
        <v>9</v>
      </c>
    </row>
    <row r="12" spans="2:5" x14ac:dyDescent="0.35">
      <c r="B1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C402-C388-4063-AA22-154D08E43F83}">
  <sheetPr codeName="Sheet3"/>
  <dimension ref="B2:G12"/>
  <sheetViews>
    <sheetView workbookViewId="0">
      <selection activeCell="G8" sqref="G8"/>
    </sheetView>
  </sheetViews>
  <sheetFormatPr defaultRowHeight="14.5" x14ac:dyDescent="0.35"/>
  <cols>
    <col min="1" max="1" width="2.90625" customWidth="1"/>
    <col min="2" max="3" width="8.7265625" style="3"/>
    <col min="4" max="4" width="14.453125" style="3" bestFit="1" customWidth="1"/>
    <col min="6" max="6" width="31.54296875" bestFit="1" customWidth="1"/>
    <col min="7" max="7" width="11.7265625" style="5" customWidth="1"/>
  </cols>
  <sheetData>
    <row r="2" spans="2:7" x14ac:dyDescent="0.35">
      <c r="B2" s="4" t="s">
        <v>8</v>
      </c>
      <c r="C2" s="4" t="s">
        <v>47</v>
      </c>
      <c r="D2" s="4" t="s">
        <v>48</v>
      </c>
      <c r="F2" s="2" t="s">
        <v>0</v>
      </c>
      <c r="G2" s="6" t="s">
        <v>1</v>
      </c>
    </row>
    <row r="3" spans="2:7" x14ac:dyDescent="0.35">
      <c r="B3" s="3">
        <v>1</v>
      </c>
      <c r="C3" s="3">
        <f>AVERAGE($B$3:$B$12)</f>
        <v>14.4</v>
      </c>
      <c r="D3" s="3">
        <f>(B3-C3)^2</f>
        <v>179.56</v>
      </c>
      <c r="F3" s="1" t="s">
        <v>25</v>
      </c>
      <c r="G3" s="7">
        <f>SUM(D3:D12) / COUNT(D3:D12)</f>
        <v>820.64</v>
      </c>
    </row>
    <row r="4" spans="2:7" x14ac:dyDescent="0.35">
      <c r="B4" s="3">
        <v>2</v>
      </c>
      <c r="C4" s="3">
        <f t="shared" ref="C4:C12" si="0">AVERAGE($B$3:$B$12)</f>
        <v>14.4</v>
      </c>
      <c r="D4" s="3">
        <f t="shared" ref="D4:D12" si="1">(B4-C4)^2</f>
        <v>153.76000000000002</v>
      </c>
      <c r="F4" s="1" t="s">
        <v>12</v>
      </c>
      <c r="G4" s="7">
        <f>_xlfn.VAR.P(B3:B12)</f>
        <v>820.64</v>
      </c>
    </row>
    <row r="5" spans="2:7" x14ac:dyDescent="0.35">
      <c r="B5" s="3">
        <v>2</v>
      </c>
      <c r="C5" s="3">
        <f t="shared" si="0"/>
        <v>14.4</v>
      </c>
      <c r="D5" s="3">
        <f t="shared" si="1"/>
        <v>153.76000000000002</v>
      </c>
      <c r="F5" s="1" t="s">
        <v>26</v>
      </c>
      <c r="G5" s="7">
        <f>SUM(D3:D12) / (COUNT(D3:D12)-1)</f>
        <v>911.82222222222219</v>
      </c>
    </row>
    <row r="6" spans="2:7" x14ac:dyDescent="0.35">
      <c r="B6" s="3">
        <v>4</v>
      </c>
      <c r="C6" s="3">
        <f t="shared" si="0"/>
        <v>14.4</v>
      </c>
      <c r="D6" s="3">
        <f t="shared" si="1"/>
        <v>108.16000000000001</v>
      </c>
      <c r="F6" s="1" t="s">
        <v>13</v>
      </c>
      <c r="G6" s="7">
        <f>_xlfn.VAR.S(B3:B12)</f>
        <v>911.82222222222219</v>
      </c>
    </row>
    <row r="7" spans="2:7" x14ac:dyDescent="0.35">
      <c r="B7" s="3">
        <v>5</v>
      </c>
      <c r="C7" s="3">
        <f t="shared" si="0"/>
        <v>14.4</v>
      </c>
      <c r="D7" s="3">
        <f t="shared" si="1"/>
        <v>88.360000000000014</v>
      </c>
      <c r="F7" s="1" t="s">
        <v>27</v>
      </c>
      <c r="G7" s="7">
        <f>SQRT(G3)</f>
        <v>28.646814831670206</v>
      </c>
    </row>
    <row r="8" spans="2:7" x14ac:dyDescent="0.35">
      <c r="B8" s="3">
        <v>6</v>
      </c>
      <c r="C8" s="3">
        <f t="shared" si="0"/>
        <v>14.4</v>
      </c>
      <c r="D8" s="3">
        <f t="shared" si="1"/>
        <v>70.56</v>
      </c>
      <c r="F8" s="1" t="s">
        <v>14</v>
      </c>
      <c r="G8" s="7">
        <f>_xlfn.STDEV.P(B3:B12)</f>
        <v>28.646814831670206</v>
      </c>
    </row>
    <row r="9" spans="2:7" x14ac:dyDescent="0.35">
      <c r="B9" s="3">
        <v>7</v>
      </c>
      <c r="C9" s="3">
        <f t="shared" si="0"/>
        <v>14.4</v>
      </c>
      <c r="D9" s="3">
        <f t="shared" si="1"/>
        <v>54.760000000000005</v>
      </c>
      <c r="F9" s="1" t="s">
        <v>28</v>
      </c>
      <c r="G9" s="7">
        <f>SQRT(G5)</f>
        <v>30.196394192390294</v>
      </c>
    </row>
    <row r="10" spans="2:7" x14ac:dyDescent="0.35">
      <c r="B10" s="3">
        <v>8</v>
      </c>
      <c r="C10" s="3">
        <f t="shared" si="0"/>
        <v>14.4</v>
      </c>
      <c r="D10" s="3">
        <f t="shared" si="1"/>
        <v>40.960000000000008</v>
      </c>
      <c r="F10" s="1" t="s">
        <v>15</v>
      </c>
      <c r="G10" s="7">
        <f>_xlfn.STDEV.S(B3:B12)</f>
        <v>30.196394192390294</v>
      </c>
    </row>
    <row r="11" spans="2:7" x14ac:dyDescent="0.35">
      <c r="B11" s="3">
        <v>9</v>
      </c>
      <c r="C11" s="3">
        <f t="shared" si="0"/>
        <v>14.4</v>
      </c>
      <c r="D11" s="3">
        <f t="shared" si="1"/>
        <v>29.160000000000004</v>
      </c>
    </row>
    <row r="12" spans="2:7" x14ac:dyDescent="0.35">
      <c r="B12" s="3">
        <v>100</v>
      </c>
      <c r="C12" s="3">
        <f t="shared" si="0"/>
        <v>14.4</v>
      </c>
      <c r="D12" s="3">
        <f t="shared" si="1"/>
        <v>7327.3599999999988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BA49-223E-4676-AEA7-09850F5E5BC7}">
  <sheetPr codeName="Sheet4"/>
  <dimension ref="B2:I18"/>
  <sheetViews>
    <sheetView workbookViewId="0">
      <selection activeCell="H14" sqref="H14"/>
    </sheetView>
  </sheetViews>
  <sheetFormatPr defaultRowHeight="14.5" x14ac:dyDescent="0.35"/>
  <cols>
    <col min="1" max="1" width="3.453125" customWidth="1"/>
    <col min="2" max="5" width="10.6328125" style="3" customWidth="1"/>
    <col min="6" max="6" width="13.7265625" style="3" bestFit="1" customWidth="1"/>
    <col min="8" max="8" width="30.90625" bestFit="1" customWidth="1"/>
    <col min="9" max="9" width="11.7265625" style="5" customWidth="1"/>
  </cols>
  <sheetData>
    <row r="2" spans="2:9" x14ac:dyDescent="0.35">
      <c r="B2" s="4" t="s">
        <v>16</v>
      </c>
      <c r="C2" s="4" t="s">
        <v>17</v>
      </c>
      <c r="D2" s="4" t="s">
        <v>29</v>
      </c>
      <c r="E2" s="4" t="s">
        <v>30</v>
      </c>
      <c r="F2" s="4" t="s">
        <v>31</v>
      </c>
      <c r="H2" s="2" t="s">
        <v>0</v>
      </c>
      <c r="I2" s="6" t="s">
        <v>1</v>
      </c>
    </row>
    <row r="3" spans="2:9" x14ac:dyDescent="0.35">
      <c r="B3" s="3">
        <v>1</v>
      </c>
      <c r="C3" s="3">
        <v>2</v>
      </c>
      <c r="D3" s="3">
        <f>B3-AVERAGE($B$3:$B$12)</f>
        <v>-13.4</v>
      </c>
      <c r="E3" s="3">
        <f>C3-AVERAGE($C$3:$C$12)</f>
        <v>-4.2</v>
      </c>
      <c r="F3" s="3">
        <f>D3*E3</f>
        <v>56.28</v>
      </c>
      <c r="H3" s="1" t="s">
        <v>32</v>
      </c>
      <c r="I3" s="5">
        <f>SUM(F3:F12) / COUNT(F3:F12)</f>
        <v>41.92</v>
      </c>
    </row>
    <row r="4" spans="2:9" x14ac:dyDescent="0.35">
      <c r="B4" s="3">
        <v>2</v>
      </c>
      <c r="C4" s="3">
        <v>3</v>
      </c>
      <c r="D4" s="3">
        <f t="shared" ref="D4:D12" si="0">B4-AVERAGE($B$3:$B$12)</f>
        <v>-12.4</v>
      </c>
      <c r="E4" s="3">
        <f t="shared" ref="E4:E12" si="1">C4-AVERAGE($C$3:$C$12)</f>
        <v>-3.2</v>
      </c>
      <c r="F4" s="3">
        <f t="shared" ref="F4:F12" si="2">D4*E4</f>
        <v>39.680000000000007</v>
      </c>
      <c r="H4" s="1" t="s">
        <v>18</v>
      </c>
      <c r="I4" s="5">
        <f>_xlfn.COVARIANCE.P(B3:B12,C3:C12)</f>
        <v>41.92</v>
      </c>
    </row>
    <row r="5" spans="2:9" x14ac:dyDescent="0.35">
      <c r="B5" s="3">
        <v>2</v>
      </c>
      <c r="C5" s="3">
        <v>2</v>
      </c>
      <c r="D5" s="3">
        <f t="shared" si="0"/>
        <v>-12.4</v>
      </c>
      <c r="E5" s="3">
        <f t="shared" si="1"/>
        <v>-4.2</v>
      </c>
      <c r="F5" s="3">
        <f t="shared" si="2"/>
        <v>52.080000000000005</v>
      </c>
      <c r="H5" s="1" t="s">
        <v>33</v>
      </c>
      <c r="I5" s="5">
        <f>SUM(F3:F12) / (COUNT(F3:F12)-1)</f>
        <v>46.577777777777776</v>
      </c>
    </row>
    <row r="6" spans="2:9" x14ac:dyDescent="0.35">
      <c r="B6" s="3">
        <v>4</v>
      </c>
      <c r="C6" s="3">
        <v>6</v>
      </c>
      <c r="D6" s="3">
        <f t="shared" si="0"/>
        <v>-10.4</v>
      </c>
      <c r="E6" s="3">
        <f t="shared" si="1"/>
        <v>-0.20000000000000018</v>
      </c>
      <c r="F6" s="3">
        <f t="shared" si="2"/>
        <v>2.0800000000000018</v>
      </c>
      <c r="H6" s="1" t="s">
        <v>19</v>
      </c>
      <c r="I6" s="5">
        <f>_xlfn.COVARIANCE.S(B3:B12,C3:C12)</f>
        <v>46.577777777777776</v>
      </c>
    </row>
    <row r="7" spans="2:9" x14ac:dyDescent="0.35">
      <c r="B7" s="3">
        <v>5</v>
      </c>
      <c r="C7" s="3">
        <v>7</v>
      </c>
      <c r="D7" s="3">
        <f t="shared" si="0"/>
        <v>-9.4</v>
      </c>
      <c r="E7" s="3">
        <f t="shared" si="1"/>
        <v>0.79999999999999982</v>
      </c>
      <c r="F7" s="3">
        <f t="shared" si="2"/>
        <v>-7.5199999999999987</v>
      </c>
      <c r="H7" s="1" t="s">
        <v>20</v>
      </c>
      <c r="I7" s="5">
        <f>_xlfn.STDEV.S(B3:B12)*_xlfn.STDEV.S(C3:C12)</f>
        <v>87.517464923674908</v>
      </c>
    </row>
    <row r="8" spans="2:9" x14ac:dyDescent="0.35">
      <c r="B8" s="3">
        <v>6</v>
      </c>
      <c r="C8" s="3">
        <v>8</v>
      </c>
      <c r="D8" s="3">
        <f t="shared" si="0"/>
        <v>-8.4</v>
      </c>
      <c r="E8" s="3">
        <f t="shared" si="1"/>
        <v>1.7999999999999998</v>
      </c>
      <c r="F8" s="3">
        <f t="shared" si="2"/>
        <v>-15.12</v>
      </c>
      <c r="H8" s="1" t="s">
        <v>34</v>
      </c>
      <c r="I8" s="5">
        <f>I6/I7</f>
        <v>0.53221123141990967</v>
      </c>
    </row>
    <row r="9" spans="2:9" x14ac:dyDescent="0.35">
      <c r="B9" s="3">
        <v>7</v>
      </c>
      <c r="C9" s="3">
        <v>8</v>
      </c>
      <c r="D9" s="3">
        <f t="shared" si="0"/>
        <v>-7.4</v>
      </c>
      <c r="E9" s="3">
        <f t="shared" si="1"/>
        <v>1.7999999999999998</v>
      </c>
      <c r="F9" s="3">
        <f t="shared" si="2"/>
        <v>-13.319999999999999</v>
      </c>
      <c r="H9" s="1" t="s">
        <v>35</v>
      </c>
      <c r="I9" s="5">
        <f>CORREL(B3:B12,C3:C12)</f>
        <v>0.53221123141990967</v>
      </c>
    </row>
    <row r="10" spans="2:9" x14ac:dyDescent="0.35">
      <c r="B10" s="3">
        <v>8</v>
      </c>
      <c r="C10" s="3">
        <v>7</v>
      </c>
      <c r="D10" s="3">
        <f t="shared" si="0"/>
        <v>-6.4</v>
      </c>
      <c r="E10" s="3">
        <f t="shared" si="1"/>
        <v>0.79999999999999982</v>
      </c>
      <c r="F10" s="3">
        <f t="shared" si="2"/>
        <v>-5.1199999999999992</v>
      </c>
    </row>
    <row r="11" spans="2:9" x14ac:dyDescent="0.35">
      <c r="B11" s="3">
        <v>9</v>
      </c>
      <c r="C11" s="3">
        <v>9</v>
      </c>
      <c r="D11" s="3">
        <f t="shared" si="0"/>
        <v>-5.4</v>
      </c>
      <c r="E11" s="3">
        <f t="shared" si="1"/>
        <v>2.8</v>
      </c>
      <c r="F11" s="3">
        <f t="shared" si="2"/>
        <v>-15.12</v>
      </c>
    </row>
    <row r="12" spans="2:9" x14ac:dyDescent="0.35">
      <c r="B12" s="3">
        <v>100</v>
      </c>
      <c r="C12" s="3">
        <v>10</v>
      </c>
      <c r="D12" s="3">
        <f t="shared" si="0"/>
        <v>85.6</v>
      </c>
      <c r="E12" s="3">
        <f t="shared" si="1"/>
        <v>3.8</v>
      </c>
      <c r="F12" s="3">
        <f t="shared" si="2"/>
        <v>325.27999999999997</v>
      </c>
      <c r="H12" s="1"/>
    </row>
    <row r="13" spans="2:9" x14ac:dyDescent="0.35">
      <c r="H13" s="1"/>
    </row>
    <row r="14" spans="2:9" x14ac:dyDescent="0.35">
      <c r="H14" s="1"/>
    </row>
    <row r="15" spans="2:9" x14ac:dyDescent="0.35">
      <c r="H15" s="1"/>
    </row>
    <row r="16" spans="2:9" x14ac:dyDescent="0.35">
      <c r="H16" s="1"/>
    </row>
    <row r="17" spans="8:8" x14ac:dyDescent="0.35">
      <c r="H17" s="1"/>
    </row>
    <row r="18" spans="8:8" x14ac:dyDescent="0.35">
      <c r="H1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051C8-21E1-49CE-86CC-97273F1FACCC}">
  <dimension ref="B2:F10"/>
  <sheetViews>
    <sheetView workbookViewId="0">
      <selection activeCell="J20" sqref="J20"/>
    </sheetView>
  </sheetViews>
  <sheetFormatPr defaultRowHeight="14.5" x14ac:dyDescent="0.35"/>
  <cols>
    <col min="1" max="1" width="3.54296875" customWidth="1"/>
    <col min="2" max="2" width="12.90625" style="22" customWidth="1"/>
    <col min="3" max="5" width="12.81640625" style="21" customWidth="1"/>
  </cols>
  <sheetData>
    <row r="2" spans="2:6" x14ac:dyDescent="0.35">
      <c r="C2" s="21">
        <f>CORREL(C5:C10,$B$5:$B$10)</f>
        <v>1</v>
      </c>
      <c r="D2" s="21">
        <f>CORREL(D5:D10,$B$5:$B$10)</f>
        <v>1</v>
      </c>
      <c r="E2" s="21">
        <f>CORREL(E5:E10,$B$5:$B$10)</f>
        <v>1</v>
      </c>
      <c r="F2" t="s">
        <v>80</v>
      </c>
    </row>
    <row r="4" spans="2:6" x14ac:dyDescent="0.35">
      <c r="B4" s="22" t="s">
        <v>79</v>
      </c>
      <c r="C4" s="21" t="s">
        <v>78</v>
      </c>
      <c r="D4" s="21" t="s">
        <v>77</v>
      </c>
      <c r="E4" s="21" t="s">
        <v>76</v>
      </c>
    </row>
    <row r="5" spans="2:6" x14ac:dyDescent="0.35">
      <c r="B5" s="24">
        <v>1</v>
      </c>
      <c r="C5" s="23">
        <f>B5*2</f>
        <v>2</v>
      </c>
      <c r="D5" s="23">
        <f>B5+7</f>
        <v>8</v>
      </c>
      <c r="E5" s="23">
        <f>B5*2+7</f>
        <v>9</v>
      </c>
    </row>
    <row r="6" spans="2:6" x14ac:dyDescent="0.35">
      <c r="B6" s="24">
        <v>2</v>
      </c>
      <c r="C6" s="23">
        <f>B6*2</f>
        <v>4</v>
      </c>
      <c r="D6" s="23">
        <f>B6+7</f>
        <v>9</v>
      </c>
      <c r="E6" s="23">
        <f>B6*2+7</f>
        <v>11</v>
      </c>
    </row>
    <row r="7" spans="2:6" x14ac:dyDescent="0.35">
      <c r="B7" s="24">
        <v>3</v>
      </c>
      <c r="C7" s="23">
        <f>B7*2</f>
        <v>6</v>
      </c>
      <c r="D7" s="23">
        <f>B7+7</f>
        <v>10</v>
      </c>
      <c r="E7" s="23">
        <f>B7*2+7</f>
        <v>13</v>
      </c>
    </row>
    <row r="8" spans="2:6" x14ac:dyDescent="0.35">
      <c r="B8" s="24">
        <v>4</v>
      </c>
      <c r="C8" s="23">
        <f>B8*2</f>
        <v>8</v>
      </c>
      <c r="D8" s="23">
        <f>B8+7</f>
        <v>11</v>
      </c>
      <c r="E8" s="23">
        <f>B8*2+7</f>
        <v>15</v>
      </c>
    </row>
    <row r="9" spans="2:6" x14ac:dyDescent="0.35">
      <c r="B9" s="24">
        <v>5</v>
      </c>
      <c r="C9" s="23">
        <f>B9*2</f>
        <v>10</v>
      </c>
      <c r="D9" s="23">
        <f>B9+7</f>
        <v>12</v>
      </c>
      <c r="E9" s="23">
        <f>B9*2+7</f>
        <v>17</v>
      </c>
    </row>
    <row r="10" spans="2:6" x14ac:dyDescent="0.35">
      <c r="B10" s="24">
        <v>6</v>
      </c>
      <c r="C10" s="23">
        <f>B10*2</f>
        <v>12</v>
      </c>
      <c r="D10" s="23">
        <f>B10+7</f>
        <v>13</v>
      </c>
      <c r="E10" s="23">
        <f>B10*2+7</f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535E-2950-408B-B808-48A9993FC6AA}">
  <dimension ref="B1:M12"/>
  <sheetViews>
    <sheetView zoomScale="70" zoomScaleNormal="70" workbookViewId="0">
      <selection activeCell="B12" sqref="B12"/>
    </sheetView>
  </sheetViews>
  <sheetFormatPr defaultRowHeight="14.5" x14ac:dyDescent="0.35"/>
  <cols>
    <col min="1" max="1" width="3.453125" customWidth="1"/>
    <col min="2" max="5" width="10.6328125" style="3" customWidth="1"/>
    <col min="6" max="6" width="13.7265625" style="3" bestFit="1" customWidth="1"/>
    <col min="9" max="13" width="8.7265625" style="5"/>
  </cols>
  <sheetData>
    <row r="1" spans="2:13" ht="15" thickBot="1" x14ac:dyDescent="0.4"/>
    <row r="2" spans="2:13" x14ac:dyDescent="0.35"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H2" s="12"/>
      <c r="I2" s="8" t="s">
        <v>49</v>
      </c>
      <c r="J2" s="8" t="s">
        <v>50</v>
      </c>
      <c r="K2" s="8" t="s">
        <v>51</v>
      </c>
      <c r="L2" s="8" t="s">
        <v>52</v>
      </c>
      <c r="M2" s="8" t="s">
        <v>53</v>
      </c>
    </row>
    <row r="3" spans="2:13" x14ac:dyDescent="0.35">
      <c r="B3" s="3">
        <v>1</v>
      </c>
      <c r="C3" s="3">
        <v>2</v>
      </c>
      <c r="D3" s="3">
        <f>B3-AVERAGE($B$3:$B$12)</f>
        <v>-4.4000000000000004</v>
      </c>
      <c r="E3" s="3">
        <f>C3-AVERAGE($C$3:$C$12)</f>
        <v>-4.2</v>
      </c>
      <c r="F3" s="3">
        <f>D3*E3</f>
        <v>18.480000000000004</v>
      </c>
      <c r="H3" t="s">
        <v>49</v>
      </c>
      <c r="I3" s="9">
        <v>1</v>
      </c>
      <c r="J3" s="9"/>
      <c r="K3" s="9"/>
      <c r="L3" s="9"/>
      <c r="M3" s="9"/>
    </row>
    <row r="4" spans="2:13" x14ac:dyDescent="0.35">
      <c r="B4" s="3">
        <v>2</v>
      </c>
      <c r="C4" s="3">
        <v>3</v>
      </c>
      <c r="D4" s="3">
        <f t="shared" ref="D4:D12" si="0">B4-AVERAGE($B$3:$B$12)</f>
        <v>-3.4000000000000004</v>
      </c>
      <c r="E4" s="3">
        <f t="shared" ref="E4:E12" si="1">C4-AVERAGE($C$3:$C$12)</f>
        <v>-3.2</v>
      </c>
      <c r="F4" s="3">
        <f t="shared" ref="F4:F12" si="2">D4*E4</f>
        <v>10.880000000000003</v>
      </c>
      <c r="H4" t="s">
        <v>50</v>
      </c>
      <c r="I4" s="9">
        <v>0.94434409731766467</v>
      </c>
      <c r="J4" s="9">
        <v>1</v>
      </c>
      <c r="K4" s="9"/>
      <c r="L4" s="9"/>
      <c r="M4" s="9"/>
    </row>
    <row r="5" spans="2:13" x14ac:dyDescent="0.35">
      <c r="B5" s="3">
        <v>2</v>
      </c>
      <c r="C5" s="3">
        <v>2</v>
      </c>
      <c r="D5" s="3">
        <f t="shared" si="0"/>
        <v>-3.4000000000000004</v>
      </c>
      <c r="E5" s="3">
        <f t="shared" si="1"/>
        <v>-4.2</v>
      </c>
      <c r="F5" s="3">
        <f t="shared" si="2"/>
        <v>14.280000000000003</v>
      </c>
      <c r="H5" t="s">
        <v>51</v>
      </c>
      <c r="I5" s="9">
        <v>1</v>
      </c>
      <c r="J5" s="9">
        <v>0.94434409731766489</v>
      </c>
      <c r="K5" s="9">
        <v>1</v>
      </c>
      <c r="L5" s="9"/>
      <c r="M5" s="9"/>
    </row>
    <row r="6" spans="2:13" x14ac:dyDescent="0.35">
      <c r="B6" s="3">
        <v>4</v>
      </c>
      <c r="C6" s="3">
        <v>6</v>
      </c>
      <c r="D6" s="3">
        <f t="shared" si="0"/>
        <v>-1.4000000000000004</v>
      </c>
      <c r="E6" s="3">
        <f t="shared" si="1"/>
        <v>-0.20000000000000018</v>
      </c>
      <c r="F6" s="3">
        <f t="shared" si="2"/>
        <v>0.2800000000000003</v>
      </c>
      <c r="H6" t="s">
        <v>52</v>
      </c>
      <c r="I6" s="9">
        <v>0.94434409731766467</v>
      </c>
      <c r="J6" s="9">
        <v>1</v>
      </c>
      <c r="K6" s="9">
        <v>0.94434409731766489</v>
      </c>
      <c r="L6" s="9">
        <v>1</v>
      </c>
      <c r="M6" s="9"/>
    </row>
    <row r="7" spans="2:13" ht="15" thickBot="1" x14ac:dyDescent="0.4">
      <c r="B7" s="3">
        <v>5</v>
      </c>
      <c r="C7" s="3">
        <v>7</v>
      </c>
      <c r="D7" s="3">
        <f t="shared" si="0"/>
        <v>-0.40000000000000036</v>
      </c>
      <c r="E7" s="3">
        <f t="shared" si="1"/>
        <v>0.79999999999999982</v>
      </c>
      <c r="F7" s="3">
        <f t="shared" si="2"/>
        <v>-0.32000000000000023</v>
      </c>
      <c r="H7" s="11" t="s">
        <v>53</v>
      </c>
      <c r="I7" s="10">
        <v>-0.19124526117006146</v>
      </c>
      <c r="J7" s="10">
        <v>-0.36034410419191032</v>
      </c>
      <c r="K7" s="10">
        <v>-0.19124526117006152</v>
      </c>
      <c r="L7" s="10">
        <v>-0.36034410419191032</v>
      </c>
      <c r="M7" s="10">
        <v>1</v>
      </c>
    </row>
    <row r="8" spans="2:13" x14ac:dyDescent="0.35">
      <c r="B8" s="3">
        <v>6</v>
      </c>
      <c r="C8" s="3">
        <v>8</v>
      </c>
      <c r="D8" s="3">
        <f t="shared" si="0"/>
        <v>0.59999999999999964</v>
      </c>
      <c r="E8" s="3">
        <f t="shared" si="1"/>
        <v>1.7999999999999998</v>
      </c>
      <c r="F8" s="3">
        <f t="shared" si="2"/>
        <v>1.0799999999999992</v>
      </c>
    </row>
    <row r="9" spans="2:13" x14ac:dyDescent="0.35">
      <c r="B9" s="3">
        <v>7</v>
      </c>
      <c r="C9" s="3">
        <v>8</v>
      </c>
      <c r="D9" s="3">
        <f t="shared" si="0"/>
        <v>1.5999999999999996</v>
      </c>
      <c r="E9" s="3">
        <f t="shared" si="1"/>
        <v>1.7999999999999998</v>
      </c>
      <c r="F9" s="3">
        <f t="shared" si="2"/>
        <v>2.879999999999999</v>
      </c>
    </row>
    <row r="10" spans="2:13" x14ac:dyDescent="0.35">
      <c r="B10" s="3">
        <v>8</v>
      </c>
      <c r="C10" s="3">
        <v>7</v>
      </c>
      <c r="D10" s="3">
        <f t="shared" si="0"/>
        <v>2.5999999999999996</v>
      </c>
      <c r="E10" s="3">
        <f t="shared" si="1"/>
        <v>0.79999999999999982</v>
      </c>
      <c r="F10" s="3">
        <f t="shared" si="2"/>
        <v>2.0799999999999992</v>
      </c>
    </row>
    <row r="11" spans="2:13" x14ac:dyDescent="0.35">
      <c r="B11" s="3">
        <v>9</v>
      </c>
      <c r="C11" s="3">
        <v>9</v>
      </c>
      <c r="D11" s="3">
        <f t="shared" si="0"/>
        <v>3.5999999999999996</v>
      </c>
      <c r="E11" s="3">
        <f t="shared" si="1"/>
        <v>2.8</v>
      </c>
      <c r="F11" s="3">
        <f t="shared" si="2"/>
        <v>10.079999999999998</v>
      </c>
    </row>
    <row r="12" spans="2:13" x14ac:dyDescent="0.35">
      <c r="B12" s="20">
        <v>10</v>
      </c>
      <c r="C12" s="3">
        <v>10</v>
      </c>
      <c r="D12" s="3">
        <f t="shared" si="0"/>
        <v>4.5999999999999996</v>
      </c>
      <c r="E12" s="3">
        <f t="shared" si="1"/>
        <v>3.8</v>
      </c>
      <c r="F12" s="3">
        <f t="shared" si="2"/>
        <v>17.479999999999997</v>
      </c>
    </row>
  </sheetData>
  <conditionalFormatting sqref="I4:I7 J5:J7 K6:K7 L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B0C5-B3A5-43C8-B727-DA678DDC663F}">
  <dimension ref="B2:J10"/>
  <sheetViews>
    <sheetView zoomScale="85" zoomScaleNormal="85" workbookViewId="0"/>
  </sheetViews>
  <sheetFormatPr defaultColWidth="9.7265625" defaultRowHeight="14.5" x14ac:dyDescent="0.35"/>
  <cols>
    <col min="1" max="1" width="4" style="13" customWidth="1"/>
    <col min="2" max="4" width="9.7265625" style="3"/>
    <col min="5" max="5" width="9.7265625" style="13"/>
    <col min="6" max="6" width="12.7265625" style="13" customWidth="1"/>
    <col min="7" max="7" width="42.54296875" style="13" bestFit="1" customWidth="1"/>
    <col min="8" max="8" width="34.81640625" style="13" customWidth="1"/>
    <col min="9" max="9" width="9.7265625" style="14"/>
    <col min="10" max="10" width="11.54296875" style="13" customWidth="1"/>
    <col min="11" max="16384" width="9.7265625" style="13"/>
  </cols>
  <sheetData>
    <row r="2" spans="2:10" x14ac:dyDescent="0.35">
      <c r="B2" s="15" t="s">
        <v>16</v>
      </c>
      <c r="C2" s="15" t="s">
        <v>17</v>
      </c>
      <c r="D2" s="15" t="s">
        <v>54</v>
      </c>
      <c r="F2" s="16" t="s">
        <v>55</v>
      </c>
      <c r="G2" s="16" t="s">
        <v>65</v>
      </c>
      <c r="H2" s="16" t="s">
        <v>0</v>
      </c>
      <c r="I2" s="17" t="s">
        <v>1</v>
      </c>
    </row>
    <row r="3" spans="2:10" x14ac:dyDescent="0.35">
      <c r="B3" s="3">
        <v>11</v>
      </c>
      <c r="C3" s="3">
        <v>17</v>
      </c>
      <c r="D3" s="3">
        <v>50</v>
      </c>
      <c r="F3" s="13" t="s">
        <v>56</v>
      </c>
      <c r="G3" s="13" t="s">
        <v>57</v>
      </c>
      <c r="H3" s="18" t="s">
        <v>58</v>
      </c>
      <c r="I3" s="14">
        <f>CORREL(B3:B9,C3:C9)</f>
        <v>0.72385257597547847</v>
      </c>
    </row>
    <row r="4" spans="2:10" x14ac:dyDescent="0.35">
      <c r="B4" s="3">
        <v>86</v>
      </c>
      <c r="C4" s="3">
        <v>258</v>
      </c>
      <c r="D4" s="3">
        <v>185</v>
      </c>
      <c r="F4" s="13" t="s">
        <v>59</v>
      </c>
      <c r="G4" s="13" t="s">
        <v>60</v>
      </c>
      <c r="H4" s="18" t="s">
        <v>61</v>
      </c>
      <c r="I4" s="14">
        <f>CORREL(B3:B9,D3:D9)</f>
        <v>0.63277098996233294</v>
      </c>
    </row>
    <row r="5" spans="2:10" x14ac:dyDescent="0.35">
      <c r="B5" s="3">
        <v>72</v>
      </c>
      <c r="C5" s="3">
        <v>108</v>
      </c>
      <c r="D5" s="3">
        <v>132</v>
      </c>
      <c r="F5" s="13" t="s">
        <v>62</v>
      </c>
      <c r="G5" s="13" t="s">
        <v>63</v>
      </c>
      <c r="H5" s="18" t="s">
        <v>64</v>
      </c>
      <c r="I5" s="14">
        <f>CORREL(C3:C9,D3:D9)</f>
        <v>0.57897322358714876</v>
      </c>
    </row>
    <row r="6" spans="2:10" x14ac:dyDescent="0.35">
      <c r="B6" s="3">
        <v>40</v>
      </c>
      <c r="C6" s="3">
        <v>90</v>
      </c>
      <c r="D6" s="3">
        <v>177</v>
      </c>
    </row>
    <row r="7" spans="2:10" x14ac:dyDescent="0.35">
      <c r="B7" s="3">
        <v>85</v>
      </c>
      <c r="C7" s="3">
        <v>128</v>
      </c>
      <c r="D7" s="3">
        <v>113</v>
      </c>
      <c r="F7" s="16" t="s">
        <v>55</v>
      </c>
      <c r="G7" s="16" t="s">
        <v>65</v>
      </c>
      <c r="H7" s="16" t="s">
        <v>66</v>
      </c>
      <c r="I7" s="17" t="s">
        <v>1</v>
      </c>
    </row>
    <row r="8" spans="2:10" x14ac:dyDescent="0.35">
      <c r="B8" s="3">
        <v>74</v>
      </c>
      <c r="C8" s="3">
        <v>82</v>
      </c>
      <c r="D8" s="3">
        <v>184</v>
      </c>
      <c r="F8" s="13" t="s">
        <v>67</v>
      </c>
      <c r="G8" s="13" t="s">
        <v>68</v>
      </c>
      <c r="H8" s="18" t="s">
        <v>69</v>
      </c>
      <c r="I8" s="14">
        <f>(I3-I4*I5) / SQRT( (1-I4^2)*(1-I5^2) )</f>
        <v>0.56623504295222271</v>
      </c>
      <c r="J8" s="19"/>
    </row>
    <row r="9" spans="2:10" x14ac:dyDescent="0.35">
      <c r="B9" s="3">
        <v>85</v>
      </c>
      <c r="C9" s="3">
        <v>128</v>
      </c>
      <c r="D9" s="3">
        <v>186</v>
      </c>
      <c r="F9" s="13" t="s">
        <v>70</v>
      </c>
      <c r="G9" s="13" t="s">
        <v>71</v>
      </c>
      <c r="H9" s="18" t="s">
        <v>72</v>
      </c>
      <c r="I9" s="14">
        <f>(I4-I3*I5) / SQRT( (1-I3^2)*(1-I5^2) )</f>
        <v>0.37983985125758446</v>
      </c>
    </row>
    <row r="10" spans="2:10" x14ac:dyDescent="0.35">
      <c r="B10" s="13"/>
      <c r="C10" s="13"/>
      <c r="D10" s="13"/>
      <c r="F10" s="13" t="s">
        <v>73</v>
      </c>
      <c r="G10" s="13" t="s">
        <v>74</v>
      </c>
      <c r="H10" s="18" t="s">
        <v>75</v>
      </c>
      <c r="I10" s="14">
        <f>(I5-I3*I4) / SQRT( (1-I3^2)*(1-I4^2) )</f>
        <v>0.22637027502091081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95D0-63A2-43B8-83D6-8D74DA1CD8AB}">
  <sheetPr codeName="Sheet6"/>
  <dimension ref="B2:G12"/>
  <sheetViews>
    <sheetView zoomScale="85" zoomScaleNormal="85" workbookViewId="0"/>
  </sheetViews>
  <sheetFormatPr defaultRowHeight="14.5" x14ac:dyDescent="0.35"/>
  <cols>
    <col min="1" max="1" width="3.453125" customWidth="1"/>
    <col min="2" max="2" width="10" style="3" customWidth="1"/>
    <col min="3" max="4" width="10.6328125" style="3" customWidth="1"/>
    <col min="5" max="7" width="8.7265625" style="5"/>
  </cols>
  <sheetData>
    <row r="2" spans="2:6" x14ac:dyDescent="0.35">
      <c r="B2" s="4" t="s">
        <v>43</v>
      </c>
      <c r="C2" s="4" t="s">
        <v>21</v>
      </c>
      <c r="D2" s="4" t="s">
        <v>22</v>
      </c>
      <c r="E2" s="4" t="s">
        <v>23</v>
      </c>
      <c r="F2" s="4" t="s">
        <v>24</v>
      </c>
    </row>
    <row r="3" spans="2:6" x14ac:dyDescent="0.35">
      <c r="B3" s="3" t="s">
        <v>2</v>
      </c>
      <c r="C3" s="3">
        <v>47</v>
      </c>
      <c r="D3" s="3">
        <v>662</v>
      </c>
      <c r="E3" s="5">
        <f>(C3-AVERAGE(C$3:C$12)) / _xlfn.STDEV.S(C$3:C$12)</f>
        <v>0.33817769493029487</v>
      </c>
      <c r="F3" s="5">
        <f>(D3-AVERAGE(D$3:D$12)) / _xlfn.STDEV.S(D$3:D$12)</f>
        <v>-0.13957028944152772</v>
      </c>
    </row>
    <row r="4" spans="2:6" x14ac:dyDescent="0.35">
      <c r="B4" s="3" t="s">
        <v>3</v>
      </c>
      <c r="C4" s="3">
        <v>3</v>
      </c>
      <c r="D4" s="3">
        <v>875</v>
      </c>
      <c r="E4" s="5">
        <f t="shared" ref="E4:E12" si="0">(C4-AVERAGE(C$3:C$12)) / _xlfn.STDEV.S(C$3:C$12)</f>
        <v>-1.728463774088173</v>
      </c>
      <c r="F4" s="5">
        <f t="shared" ref="F4:F12" si="1">(D4-AVERAGE(D$3:D$12)) / _xlfn.STDEV.S(D$3:D$12)</f>
        <v>0.58199455645763176</v>
      </c>
    </row>
    <row r="5" spans="2:6" x14ac:dyDescent="0.35">
      <c r="B5" s="3" t="s">
        <v>4</v>
      </c>
      <c r="C5" s="3">
        <v>44</v>
      </c>
      <c r="D5" s="3">
        <v>319</v>
      </c>
      <c r="E5" s="5">
        <f t="shared" si="0"/>
        <v>0.19727032204267206</v>
      </c>
      <c r="F5" s="5">
        <f t="shared" si="1"/>
        <v>-1.3015268253260897</v>
      </c>
    </row>
    <row r="6" spans="2:6" x14ac:dyDescent="0.35">
      <c r="B6" s="3" t="s">
        <v>36</v>
      </c>
      <c r="C6" s="3">
        <v>43</v>
      </c>
      <c r="D6" s="3">
        <v>536</v>
      </c>
      <c r="E6" s="5">
        <f t="shared" si="0"/>
        <v>0.15030119774679779</v>
      </c>
      <c r="F6" s="5">
        <f t="shared" si="1"/>
        <v>-0.56641146588891778</v>
      </c>
    </row>
    <row r="7" spans="2:6" x14ac:dyDescent="0.35">
      <c r="B7" s="3" t="s">
        <v>37</v>
      </c>
      <c r="C7" s="3">
        <v>11</v>
      </c>
      <c r="D7" s="3">
        <v>712</v>
      </c>
      <c r="E7" s="5">
        <f t="shared" si="0"/>
        <v>-1.3527107797211788</v>
      </c>
      <c r="F7" s="5">
        <f t="shared" si="1"/>
        <v>2.9811129783627092E-2</v>
      </c>
    </row>
    <row r="8" spans="2:6" x14ac:dyDescent="0.35">
      <c r="B8" s="3" t="s">
        <v>38</v>
      </c>
      <c r="C8" s="3">
        <v>32</v>
      </c>
      <c r="D8" s="3">
        <v>741</v>
      </c>
      <c r="E8" s="5">
        <f t="shared" si="0"/>
        <v>-0.36635916950781916</v>
      </c>
      <c r="F8" s="5">
        <f t="shared" si="1"/>
        <v>0.12805235293421688</v>
      </c>
    </row>
    <row r="9" spans="2:6" x14ac:dyDescent="0.35">
      <c r="B9" s="3" t="s">
        <v>39</v>
      </c>
      <c r="C9" s="3">
        <v>68</v>
      </c>
      <c r="D9" s="3">
        <v>1155</v>
      </c>
      <c r="E9" s="5">
        <f t="shared" si="0"/>
        <v>1.3245293051436544</v>
      </c>
      <c r="F9" s="5">
        <f t="shared" si="1"/>
        <v>1.5305305041184987</v>
      </c>
    </row>
    <row r="10" spans="2:6" x14ac:dyDescent="0.35">
      <c r="B10" s="3" t="s">
        <v>40</v>
      </c>
      <c r="C10" s="3">
        <v>50</v>
      </c>
      <c r="D10" s="3">
        <v>579</v>
      </c>
      <c r="E10" s="5">
        <f t="shared" si="0"/>
        <v>0.47908506781791765</v>
      </c>
      <c r="F10" s="5">
        <f t="shared" si="1"/>
        <v>-0.42074344535528468</v>
      </c>
    </row>
    <row r="11" spans="2:6" x14ac:dyDescent="0.35">
      <c r="B11" s="3" t="s">
        <v>41</v>
      </c>
      <c r="C11" s="3">
        <v>32</v>
      </c>
      <c r="D11" s="3">
        <v>1148</v>
      </c>
      <c r="E11" s="5">
        <f t="shared" si="0"/>
        <v>-0.36635916950781916</v>
      </c>
      <c r="F11" s="5">
        <f t="shared" si="1"/>
        <v>1.506817105426977</v>
      </c>
    </row>
    <row r="12" spans="2:6" x14ac:dyDescent="0.35">
      <c r="B12" s="3" t="s">
        <v>42</v>
      </c>
      <c r="C12" s="3">
        <v>68</v>
      </c>
      <c r="D12" s="3">
        <v>305</v>
      </c>
      <c r="E12" s="5">
        <f t="shared" si="0"/>
        <v>1.3245293051436544</v>
      </c>
      <c r="F12" s="5">
        <f t="shared" si="1"/>
        <v>-1.348953622709133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2DF7-3E43-4C10-984E-6358C9BED0F1}">
  <sheetPr codeName="Sheet7"/>
  <dimension ref="B2:G12"/>
  <sheetViews>
    <sheetView zoomScale="85" zoomScaleNormal="85" workbookViewId="0"/>
  </sheetViews>
  <sheetFormatPr defaultRowHeight="14.5" x14ac:dyDescent="0.35"/>
  <cols>
    <col min="1" max="1" width="3.453125" customWidth="1"/>
    <col min="2" max="2" width="10" style="3" customWidth="1"/>
    <col min="3" max="4" width="10.6328125" style="3" customWidth="1"/>
    <col min="5" max="7" width="8.7265625" style="5"/>
  </cols>
  <sheetData>
    <row r="2" spans="2:6" x14ac:dyDescent="0.35">
      <c r="B2" s="4" t="s">
        <v>43</v>
      </c>
      <c r="C2" s="4" t="s">
        <v>21</v>
      </c>
      <c r="D2" s="4" t="s">
        <v>22</v>
      </c>
      <c r="E2" s="4" t="s">
        <v>23</v>
      </c>
      <c r="F2" s="4" t="s">
        <v>24</v>
      </c>
    </row>
    <row r="3" spans="2:6" x14ac:dyDescent="0.35">
      <c r="B3" s="3" t="s">
        <v>2</v>
      </c>
      <c r="C3" s="3">
        <v>47</v>
      </c>
      <c r="D3" s="3">
        <v>662</v>
      </c>
      <c r="E3" s="5">
        <f>(C3-MIN(C$3:C$12))/(MAX(C$3:C$12)-MIN(C$3:C$12))</f>
        <v>0.67692307692307696</v>
      </c>
      <c r="F3" s="5">
        <f>(D3-MIN(D$3:D$12))/(MAX(D$3:D$12)-MIN(D$3:D$12))</f>
        <v>0.42</v>
      </c>
    </row>
    <row r="4" spans="2:6" x14ac:dyDescent="0.35">
      <c r="B4" s="3" t="s">
        <v>3</v>
      </c>
      <c r="C4" s="3">
        <v>3</v>
      </c>
      <c r="D4" s="3">
        <v>875</v>
      </c>
      <c r="E4" s="5">
        <f t="shared" ref="E4:E12" si="0">(C4-MIN(C$3:C$12))/(MAX(C$3:C$12)-MIN(C$3:C$12))</f>
        <v>0</v>
      </c>
      <c r="F4" s="5">
        <f t="shared" ref="F4:F12" si="1">(D4-MIN(D$3:D$12))/(MAX(D$3:D$12)-MIN(D$3:D$12))</f>
        <v>0.6705882352941176</v>
      </c>
    </row>
    <row r="5" spans="2:6" x14ac:dyDescent="0.35">
      <c r="B5" s="3" t="s">
        <v>4</v>
      </c>
      <c r="C5" s="3">
        <v>44</v>
      </c>
      <c r="D5" s="3">
        <v>319</v>
      </c>
      <c r="E5" s="5">
        <f t="shared" si="0"/>
        <v>0.63076923076923075</v>
      </c>
      <c r="F5" s="5">
        <f t="shared" si="1"/>
        <v>1.6470588235294119E-2</v>
      </c>
    </row>
    <row r="6" spans="2:6" x14ac:dyDescent="0.35">
      <c r="B6" s="3" t="s">
        <v>36</v>
      </c>
      <c r="C6" s="3">
        <v>43</v>
      </c>
      <c r="D6" s="3">
        <v>536</v>
      </c>
      <c r="E6" s="5">
        <f t="shared" si="0"/>
        <v>0.61538461538461542</v>
      </c>
      <c r="F6" s="5">
        <f t="shared" si="1"/>
        <v>0.27176470588235296</v>
      </c>
    </row>
    <row r="7" spans="2:6" x14ac:dyDescent="0.35">
      <c r="B7" s="3" t="s">
        <v>37</v>
      </c>
      <c r="C7" s="3">
        <v>11</v>
      </c>
      <c r="D7" s="3">
        <v>712</v>
      </c>
      <c r="E7" s="5">
        <f t="shared" si="0"/>
        <v>0.12307692307692308</v>
      </c>
      <c r="F7" s="5">
        <f t="shared" si="1"/>
        <v>0.4788235294117647</v>
      </c>
    </row>
    <row r="8" spans="2:6" x14ac:dyDescent="0.35">
      <c r="B8" s="3" t="s">
        <v>38</v>
      </c>
      <c r="C8" s="3">
        <v>32</v>
      </c>
      <c r="D8" s="3">
        <v>741</v>
      </c>
      <c r="E8" s="5">
        <f t="shared" si="0"/>
        <v>0.44615384615384618</v>
      </c>
      <c r="F8" s="5">
        <f t="shared" si="1"/>
        <v>0.51294117647058823</v>
      </c>
    </row>
    <row r="9" spans="2:6" x14ac:dyDescent="0.35">
      <c r="B9" s="3" t="s">
        <v>39</v>
      </c>
      <c r="C9" s="3">
        <v>68</v>
      </c>
      <c r="D9" s="3">
        <v>1155</v>
      </c>
      <c r="E9" s="5">
        <f t="shared" si="0"/>
        <v>1</v>
      </c>
      <c r="F9" s="5">
        <f t="shared" si="1"/>
        <v>1</v>
      </c>
    </row>
    <row r="10" spans="2:6" x14ac:dyDescent="0.35">
      <c r="B10" s="3" t="s">
        <v>40</v>
      </c>
      <c r="C10" s="3">
        <v>50</v>
      </c>
      <c r="D10" s="3">
        <v>579</v>
      </c>
      <c r="E10" s="5">
        <f t="shared" si="0"/>
        <v>0.72307692307692306</v>
      </c>
      <c r="F10" s="5">
        <f t="shared" si="1"/>
        <v>0.32235294117647056</v>
      </c>
    </row>
    <row r="11" spans="2:6" x14ac:dyDescent="0.35">
      <c r="B11" s="3" t="s">
        <v>41</v>
      </c>
      <c r="C11" s="3">
        <v>32</v>
      </c>
      <c r="D11" s="3">
        <v>1148</v>
      </c>
      <c r="E11" s="5">
        <f t="shared" si="0"/>
        <v>0.44615384615384618</v>
      </c>
      <c r="F11" s="5">
        <f t="shared" si="1"/>
        <v>0.99176470588235299</v>
      </c>
    </row>
    <row r="12" spans="2:6" x14ac:dyDescent="0.35">
      <c r="B12" s="3" t="s">
        <v>42</v>
      </c>
      <c r="C12" s="3">
        <v>68</v>
      </c>
      <c r="D12" s="3">
        <v>305</v>
      </c>
      <c r="E12" s="5">
        <f t="shared" si="0"/>
        <v>1</v>
      </c>
      <c r="F12" s="5">
        <f t="shared" si="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centrality</vt:lpstr>
      <vt:lpstr>percentile</vt:lpstr>
      <vt:lpstr>variance &amp; stdev</vt:lpstr>
      <vt:lpstr>covar and correl</vt:lpstr>
      <vt:lpstr>corr shift &amp; scale invariance</vt:lpstr>
      <vt:lpstr>corr matrix</vt:lpstr>
      <vt:lpstr>partial corr</vt:lpstr>
      <vt:lpstr>z-standardization</vt:lpstr>
      <vt:lpstr>minmax scaling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Patrick</dc:creator>
  <cp:lastModifiedBy>White, Patrick</cp:lastModifiedBy>
  <dcterms:created xsi:type="dcterms:W3CDTF">2024-04-02T22:50:09Z</dcterms:created>
  <dcterms:modified xsi:type="dcterms:W3CDTF">2024-06-06T18:28:09Z</dcterms:modified>
</cp:coreProperties>
</file>
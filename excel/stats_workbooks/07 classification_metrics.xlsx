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white\Desktop\Excel\"/>
    </mc:Choice>
  </mc:AlternateContent>
  <xr:revisionPtr revIDLastSave="0" documentId="13_ncr:1_{24F3139B-6CEC-48FA-9238-E9C1EF171227}" xr6:coauthVersionLast="47" xr6:coauthVersionMax="47" xr10:uidLastSave="{00000000-0000-0000-0000-000000000000}"/>
  <bookViews>
    <workbookView xWindow="-110" yWindow="-110" windowWidth="19420" windowHeight="10420" xr2:uid="{7F18E2A3-CC5B-4F42-9CBB-9CE3C58D0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7" i="1"/>
  <c r="M6" i="1"/>
  <c r="M5" i="1"/>
  <c r="M4" i="1"/>
  <c r="M3" i="1"/>
  <c r="I4" i="1" l="1"/>
  <c r="I6" i="1"/>
  <c r="I5" i="1"/>
  <c r="I3" i="1"/>
</calcChain>
</file>

<file path=xl/sharedStrings.xml><?xml version="1.0" encoding="utf-8"?>
<sst xmlns="http://schemas.openxmlformats.org/spreadsheetml/2006/main" count="32" uniqueCount="28">
  <si>
    <t>Actual</t>
  </si>
  <si>
    <t>Positive</t>
  </si>
  <si>
    <t>Negative</t>
  </si>
  <si>
    <t>Predicted</t>
  </si>
  <si>
    <t>Metric</t>
  </si>
  <si>
    <t>Formula</t>
  </si>
  <si>
    <t>Result</t>
  </si>
  <si>
    <t>Accuracy</t>
  </si>
  <si>
    <t>Error Rate</t>
  </si>
  <si>
    <t>Precision</t>
  </si>
  <si>
    <t>Sensitivity</t>
  </si>
  <si>
    <t>Specificity</t>
  </si>
  <si>
    <t>F-Score</t>
  </si>
  <si>
    <t>Quantity</t>
  </si>
  <si>
    <t>True Positives (TP)</t>
  </si>
  <si>
    <t>True Negatives (TN)</t>
  </si>
  <si>
    <t>False Positives (FP)</t>
  </si>
  <si>
    <t>False Negatives (FN)</t>
  </si>
  <si>
    <t>=D5</t>
  </si>
  <si>
    <t>=E6</t>
  </si>
  <si>
    <t>=D6</t>
  </si>
  <si>
    <t>=E5</t>
  </si>
  <si>
    <t>=(I3+I4)/(I3+I4+I5+I6)</t>
  </si>
  <si>
    <t>=(I5+I6)/(I3+I4+I5+I6)</t>
  </si>
  <si>
    <t>=I3/(I3+I5)</t>
  </si>
  <si>
    <t>=I3/(I3+I6)</t>
  </si>
  <si>
    <t>=I4/(I4+I5)</t>
  </si>
  <si>
    <t>=(2*M5*M6)/(M5+M6)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</si>
</sst>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0" fillId="0" borderId="0" xfId="0" quotePrefix="1"/>
    <xf numFmtId="0" fontId="0" fillId="0" borderId="0" xfId="0" quotePrefix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7AC4E-F91D-4AC1-AAA5-8DA5B6018093}">
  <dimension ref="B2:M8"/>
  <sheetViews>
    <sheetView tabSelected="1" workbookViewId="0">
      <selection activeCell="O15" sqref="O15"/>
    </sheetView>
  </sheetViews>
  <sheetFormatPr defaultRowHeight="14.5" x14ac:dyDescent="0.35"/>
  <cols>
    <col min="1" max="1" width="3.26953125" customWidth="1"/>
    <col min="2" max="5" width="8.7265625" style="1"/>
    <col min="7" max="7" width="20" customWidth="1"/>
    <col min="8" max="8" width="9.1796875" style="1" customWidth="1"/>
    <col min="9" max="9" width="11" style="1" customWidth="1"/>
    <col min="11" max="11" width="12.453125" customWidth="1"/>
    <col min="12" max="12" width="20.26953125" bestFit="1" customWidth="1"/>
    <col min="13" max="13" width="11" style="1" customWidth="1"/>
  </cols>
  <sheetData>
    <row r="2" spans="2:13" x14ac:dyDescent="0.35">
      <c r="D2" s="11" t="s">
        <v>3</v>
      </c>
      <c r="E2" s="11"/>
      <c r="G2" s="2" t="s">
        <v>4</v>
      </c>
      <c r="H2" s="3" t="s">
        <v>5</v>
      </c>
      <c r="I2" s="3" t="s">
        <v>13</v>
      </c>
      <c r="K2" s="2" t="s">
        <v>4</v>
      </c>
      <c r="L2" s="2" t="s">
        <v>5</v>
      </c>
      <c r="M2" s="3" t="s">
        <v>6</v>
      </c>
    </row>
    <row r="3" spans="2:13" x14ac:dyDescent="0.35">
      <c r="D3" s="4" t="s">
        <v>1</v>
      </c>
      <c r="E3" s="4" t="s">
        <v>2</v>
      </c>
      <c r="G3" t="s">
        <v>14</v>
      </c>
      <c r="H3" s="9" t="s">
        <v>18</v>
      </c>
      <c r="I3" s="1">
        <f>D4</f>
        <v>35</v>
      </c>
      <c r="K3" t="s">
        <v>7</v>
      </c>
      <c r="L3" s="8" t="s">
        <v>22</v>
      </c>
      <c r="M3" s="10">
        <f>(I3+I4)/(I3+I4+I5+I6)</f>
        <v>0.87301587301587302</v>
      </c>
    </row>
    <row r="4" spans="2:13" x14ac:dyDescent="0.35">
      <c r="B4" s="12" t="s">
        <v>0</v>
      </c>
      <c r="C4" s="7" t="s">
        <v>1</v>
      </c>
      <c r="D4" s="5">
        <v>35</v>
      </c>
      <c r="E4" s="6">
        <v>1</v>
      </c>
      <c r="G4" t="s">
        <v>15</v>
      </c>
      <c r="H4" s="9" t="s">
        <v>19</v>
      </c>
      <c r="I4" s="1">
        <f>E5</f>
        <v>20</v>
      </c>
      <c r="K4" t="s">
        <v>8</v>
      </c>
      <c r="L4" s="8" t="s">
        <v>23</v>
      </c>
      <c r="M4" s="10">
        <f>(I5+I6)/(I3+I4+I5+I6)</f>
        <v>0.12698412698412698</v>
      </c>
    </row>
    <row r="5" spans="2:13" x14ac:dyDescent="0.35">
      <c r="B5" s="13"/>
      <c r="C5" s="7" t="s">
        <v>2</v>
      </c>
      <c r="D5" s="6">
        <v>7</v>
      </c>
      <c r="E5" s="5">
        <v>20</v>
      </c>
      <c r="G5" t="s">
        <v>16</v>
      </c>
      <c r="H5" s="9" t="s">
        <v>20</v>
      </c>
      <c r="I5" s="1">
        <f>D5</f>
        <v>7</v>
      </c>
      <c r="K5" t="s">
        <v>9</v>
      </c>
      <c r="L5" s="8" t="s">
        <v>24</v>
      </c>
      <c r="M5" s="10">
        <f>I3/(I3+I5)</f>
        <v>0.83333333333333337</v>
      </c>
    </row>
    <row r="6" spans="2:13" x14ac:dyDescent="0.35">
      <c r="G6" t="s">
        <v>17</v>
      </c>
      <c r="H6" s="9" t="s">
        <v>21</v>
      </c>
      <c r="I6" s="1">
        <f>E4</f>
        <v>1</v>
      </c>
      <c r="K6" t="s">
        <v>10</v>
      </c>
      <c r="L6" s="8" t="s">
        <v>25</v>
      </c>
      <c r="M6" s="10">
        <f>I3/(I3+I6)</f>
        <v>0.97222222222222221</v>
      </c>
    </row>
    <row r="7" spans="2:13" x14ac:dyDescent="0.35">
      <c r="K7" t="s">
        <v>11</v>
      </c>
      <c r="L7" s="8" t="s">
        <v>26</v>
      </c>
      <c r="M7" s="10">
        <f>I4/(I4+I5)</f>
        <v>0.7407407407407407</v>
      </c>
    </row>
    <row r="8" spans="2:13" x14ac:dyDescent="0.35">
      <c r="K8" t="s">
        <v>12</v>
      </c>
      <c r="L8" s="8" t="s">
        <v>27</v>
      </c>
      <c r="M8" s="10">
        <f>(2*M5*M6)/(M5+M6)</f>
        <v>0.89743589743589747</v>
      </c>
    </row>
  </sheetData>
  <mergeCells count="2">
    <mergeCell ref="D2:E2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Patrick</dc:creator>
  <cp:lastModifiedBy>White, Patrick</cp:lastModifiedBy>
  <dcterms:created xsi:type="dcterms:W3CDTF">2024-04-18T21:42:04Z</dcterms:created>
  <dcterms:modified xsi:type="dcterms:W3CDTF">2024-04-18T22:21:00Z</dcterms:modified>
</cp:coreProperties>
</file>
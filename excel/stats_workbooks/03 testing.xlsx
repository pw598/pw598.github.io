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hite\Desktop\Excel\"/>
    </mc:Choice>
  </mc:AlternateContent>
  <xr:revisionPtr revIDLastSave="0" documentId="13_ncr:1_{F4768CB5-38D7-4DBD-B683-9CD9B4140E3D}" xr6:coauthVersionLast="47" xr6:coauthVersionMax="47" xr10:uidLastSave="{00000000-0000-0000-0000-000000000000}"/>
  <bookViews>
    <workbookView xWindow="-110" yWindow="-110" windowWidth="19420" windowHeight="10420" tabRatio="879" xr2:uid="{07BAF2C4-CDB9-4925-89A2-4ABE7D0C41F3}"/>
  </bookViews>
  <sheets>
    <sheet name="z-test one-sample" sheetId="11" r:id="rId1"/>
    <sheet name="norm.dist" sheetId="13" r:id="rId2"/>
    <sheet name="t-test one-sample" sheetId="12" r:id="rId3"/>
    <sheet name="t.dist" sheetId="14" r:id="rId4"/>
    <sheet name="t.dist chart" sheetId="15" r:id="rId5"/>
    <sheet name="t-test paired" sheetId="6" r:id="rId6"/>
    <sheet name="t-test independent" sheetId="7" r:id="rId7"/>
    <sheet name="chi-square test" sheetId="10" r:id="rId8"/>
    <sheet name="chi-square test (2)" sheetId="9" r:id="rId9"/>
    <sheet name="conf int 1" sheetId="16" r:id="rId10"/>
    <sheet name="conf int 2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F3" i="17" s="1"/>
  <c r="E4" i="17"/>
  <c r="F4" i="17" s="1"/>
  <c r="E5" i="17"/>
  <c r="F5" i="17" s="1"/>
  <c r="G5" i="17"/>
  <c r="E6" i="17"/>
  <c r="F6" i="17" s="1"/>
  <c r="E7" i="17"/>
  <c r="F7" i="17" s="1"/>
  <c r="E8" i="17"/>
  <c r="G8" i="17" s="1"/>
  <c r="E9" i="17"/>
  <c r="F9" i="17"/>
  <c r="G9" i="17"/>
  <c r="E10" i="17"/>
  <c r="F10" i="17" s="1"/>
  <c r="G10" i="17"/>
  <c r="E11" i="17"/>
  <c r="G11" i="17" s="1"/>
  <c r="E12" i="17"/>
  <c r="G12" i="17" s="1"/>
  <c r="F12" i="17"/>
  <c r="E13" i="17"/>
  <c r="F13" i="17" s="1"/>
  <c r="E14" i="17"/>
  <c r="F14" i="17" s="1"/>
  <c r="F3" i="16"/>
  <c r="F11" i="16" s="1"/>
  <c r="F4" i="16"/>
  <c r="F20" i="16" s="1"/>
  <c r="F5" i="16"/>
  <c r="F12" i="16" s="1"/>
  <c r="F8" i="16"/>
  <c r="F9" i="16"/>
  <c r="F10" i="16"/>
  <c r="F13" i="16" s="1"/>
  <c r="F16" i="16" a="1"/>
  <c r="F16" i="16" s="1"/>
  <c r="L4" i="10"/>
  <c r="H4" i="10"/>
  <c r="H5" i="10"/>
  <c r="H6" i="10"/>
  <c r="H7" i="10"/>
  <c r="H8" i="10"/>
  <c r="H3" i="10"/>
  <c r="L6" i="10"/>
  <c r="L5" i="10"/>
  <c r="L3" i="10"/>
  <c r="L11" i="7"/>
  <c r="L10" i="7"/>
  <c r="C11" i="15"/>
  <c r="C4" i="15"/>
  <c r="C5" i="15"/>
  <c r="C6" i="15"/>
  <c r="C7" i="15"/>
  <c r="C8" i="15"/>
  <c r="C9" i="15"/>
  <c r="C10" i="15"/>
  <c r="C12" i="15"/>
  <c r="C13" i="15"/>
  <c r="C14" i="15"/>
  <c r="C15" i="15"/>
  <c r="C16" i="15"/>
  <c r="C17" i="15"/>
  <c r="C18" i="15"/>
  <c r="C19" i="15"/>
  <c r="C3" i="15"/>
  <c r="D4" i="14"/>
  <c r="D3" i="14"/>
  <c r="J6" i="12"/>
  <c r="J5" i="12"/>
  <c r="J4" i="12"/>
  <c r="J3" i="12"/>
  <c r="F5" i="12"/>
  <c r="D5" i="13"/>
  <c r="D4" i="13"/>
  <c r="D3" i="13"/>
  <c r="G11" i="11"/>
  <c r="G10" i="11"/>
  <c r="G9" i="11"/>
  <c r="G6" i="11"/>
  <c r="G4" i="11"/>
  <c r="F18" i="16" l="1"/>
  <c r="F21" i="16" s="1"/>
  <c r="F17" i="16"/>
  <c r="F19" i="16" s="1"/>
  <c r="G7" i="17"/>
  <c r="G4" i="17"/>
  <c r="F11" i="17"/>
  <c r="G13" i="17"/>
  <c r="F8" i="17"/>
  <c r="G14" i="17"/>
  <c r="G6" i="17"/>
  <c r="G3" i="17"/>
  <c r="G7" i="11"/>
  <c r="G5" i="11"/>
  <c r="G3" i="11"/>
  <c r="F6" i="12"/>
  <c r="N3" i="9"/>
  <c r="L5" i="9"/>
  <c r="L6" i="9"/>
  <c r="L3" i="9"/>
  <c r="H5" i="9"/>
  <c r="D4" i="9"/>
  <c r="H4" i="9" s="1"/>
  <c r="D5" i="9"/>
  <c r="D3" i="9"/>
  <c r="H3" i="9" s="1"/>
  <c r="L4" i="9" s="1"/>
  <c r="H4" i="7"/>
  <c r="H3" i="7"/>
  <c r="D12" i="7"/>
  <c r="D11" i="7"/>
  <c r="D10" i="7"/>
  <c r="D9" i="7"/>
  <c r="D8" i="7"/>
  <c r="D7" i="7"/>
  <c r="D6" i="7"/>
  <c r="D5" i="7"/>
  <c r="D4" i="7"/>
  <c r="D3" i="7"/>
  <c r="H4" i="6"/>
  <c r="H3" i="6"/>
  <c r="D4" i="6"/>
  <c r="D5" i="6"/>
  <c r="D6" i="6"/>
  <c r="D7" i="6"/>
  <c r="D8" i="6"/>
  <c r="D9" i="6"/>
  <c r="D10" i="6"/>
  <c r="D11" i="6"/>
  <c r="D3" i="6"/>
  <c r="H6" i="6" s="1"/>
  <c r="H7" i="7" l="1"/>
  <c r="H5" i="7"/>
  <c r="H6" i="7"/>
  <c r="H5" i="6"/>
  <c r="H7" i="6"/>
  <c r="F3" i="12"/>
  <c r="N3" i="10"/>
  <c r="L4" i="6" l="1"/>
  <c r="N3" i="6" s="1"/>
  <c r="L5" i="6"/>
  <c r="L6" i="6"/>
  <c r="L3" i="6"/>
  <c r="L3" i="12"/>
  <c r="L3" i="7"/>
  <c r="L5" i="7"/>
  <c r="L4" i="7"/>
  <c r="L6" i="7"/>
  <c r="N3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<sst xmlns="http://schemas.openxmlformats.org/spreadsheetml/2006/main" count="238" uniqueCount="126">
  <si>
    <t>n</t>
  </si>
  <si>
    <t>Parameter</t>
  </si>
  <si>
    <t>Value</t>
  </si>
  <si>
    <t>Formula</t>
  </si>
  <si>
    <t>Result</t>
  </si>
  <si>
    <t>=NORM.S.INV(0.975)</t>
  </si>
  <si>
    <t>=NORM.INV(0.975,0,1)</t>
  </si>
  <si>
    <t>=4</t>
  </si>
  <si>
    <t>test z-stat</t>
  </si>
  <si>
    <t>critical z (two-tailed)</t>
  </si>
  <si>
    <t>critical z (one-tailed)</t>
  </si>
  <si>
    <t>=NORM.INV(0.95,0,1)</t>
  </si>
  <si>
    <t>=NORM.S.INV(0.95)</t>
  </si>
  <si>
    <t>=AVERAGE(B3:B11)</t>
  </si>
  <si>
    <t>=COUNT(B3:B11)</t>
  </si>
  <si>
    <t>s</t>
  </si>
  <si>
    <t>test t-stat</t>
  </si>
  <si>
    <t>critical t (two-tailed)</t>
  </si>
  <si>
    <t>critical t (one-tailed)</t>
  </si>
  <si>
    <r>
      <t>mu</t>
    </r>
    <r>
      <rPr>
        <vertAlign val="subscript"/>
        <sz val="11"/>
        <rFont val="Calibri"/>
        <family val="2"/>
        <scheme val="minor"/>
      </rPr>
      <t>0</t>
    </r>
  </si>
  <si>
    <t>Outcome</t>
  </si>
  <si>
    <r>
      <t>x̅</t>
    </r>
    <r>
      <rPr>
        <vertAlign val="subscript"/>
        <sz val="11"/>
        <color theme="1"/>
        <rFont val="Calibri"/>
        <family val="2"/>
        <scheme val="minor"/>
      </rPr>
      <t>2</t>
    </r>
  </si>
  <si>
    <t>d̅</t>
  </si>
  <si>
    <r>
      <t>x̅</t>
    </r>
    <r>
      <rPr>
        <vertAlign val="subscript"/>
        <sz val="11"/>
        <color theme="1"/>
        <rFont val="Calibri"/>
        <family val="2"/>
        <scheme val="minor"/>
      </rPr>
      <t>1</t>
    </r>
  </si>
  <si>
    <t>effect of a treatment for milk production in dairy cows…</t>
  </si>
  <si>
    <t>=AVERAGE(C3:C11)</t>
  </si>
  <si>
    <t>=AVERAGE(D3:D11)</t>
  </si>
  <si>
    <t>=STDEV.S(D3:D11)</t>
  </si>
  <si>
    <t>=COUNT(D3:D11)</t>
  </si>
  <si>
    <t>=T.INV(0.025,H7-1)</t>
  </si>
  <si>
    <t>=T.INV.2T(0.05,H7-1)</t>
  </si>
  <si>
    <t>=T.INV(0.95,H7-1)</t>
  </si>
  <si>
    <t>=AVERAGE(B3:B12)</t>
  </si>
  <si>
    <t>=AVERAGE(C3:C12)</t>
  </si>
  <si>
    <t>=AVERAGE(D3:D12)</t>
  </si>
  <si>
    <t>=STDEV.S(D3:D12)</t>
  </si>
  <si>
    <t>=COUNT(D3:D12)</t>
  </si>
  <si>
    <t>White</t>
  </si>
  <si>
    <t>Brown</t>
  </si>
  <si>
    <t>Pied</t>
  </si>
  <si>
    <t>Rabbit Color</t>
  </si>
  <si>
    <t>Expected Ratio</t>
  </si>
  <si>
    <t>Observed (O)</t>
  </si>
  <si>
    <t>Expected (E)</t>
  </si>
  <si>
    <t>rabbit colors…</t>
  </si>
  <si>
    <r>
      <t>(O - E)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E</t>
    </r>
  </si>
  <si>
    <t>=(E3-D3)^2/D3</t>
  </si>
  <si>
    <t>=(E4-D4)^2/D4</t>
  </si>
  <si>
    <t>=(E5-D5)^2/D5</t>
  </si>
  <si>
    <t>=SUM(H3:H5)</t>
  </si>
  <si>
    <t>=COUNT(E3:E5)</t>
  </si>
  <si>
    <t>chi-squared test stat</t>
  </si>
  <si>
    <t>critical chi-squared</t>
  </si>
  <si>
    <t>1/6</t>
  </si>
  <si>
    <t>Number Rolled</t>
  </si>
  <si>
    <t>=(E5-D5)^2/D6</t>
  </si>
  <si>
    <t>=(E5-D5)^2/D7</t>
  </si>
  <si>
    <t>=(E5-D5)^2/D8</t>
  </si>
  <si>
    <t>dice roll…</t>
  </si>
  <si>
    <t>=CHISQ.INV.RT(0.05,L3-1)</t>
  </si>
  <si>
    <t>=CHISQ.INV(0.95,L3-1)</t>
  </si>
  <si>
    <t>plastic nuts…</t>
  </si>
  <si>
    <t>x̅</t>
  </si>
  <si>
    <t>sample mean x̅</t>
  </si>
  <si>
    <t>pop. mean µ</t>
  </si>
  <si>
    <t>pop. stdev σ</t>
  </si>
  <si>
    <t># observations n</t>
  </si>
  <si>
    <t>=(C3-C4) / (C5/SQRT(C6))</t>
  </si>
  <si>
    <t>=NORM.DIST(1.96,0,1,TRUE)</t>
  </si>
  <si>
    <t>=NORM.DIST(1.645,0,1,TRUE)</t>
  </si>
  <si>
    <t>=NORM.DIST(1.8,0,1,TRUE)</t>
  </si>
  <si>
    <t>AUC at test z = 1.8</t>
  </si>
  <si>
    <t>AUC at critical z =1.96</t>
  </si>
  <si>
    <t>AUC at critical z = 1.645</t>
  </si>
  <si>
    <t>*AUC = Area Under Curve</t>
  </si>
  <si>
    <t>=STDEV.S(B3:B11)</t>
  </si>
  <si>
    <t>=T.INV(0.025,F6-1)</t>
  </si>
  <si>
    <t>=T.INV.2T(0.05,F6-1)</t>
  </si>
  <si>
    <t>=T.INV(0.95,F6-1)</t>
  </si>
  <si>
    <t>=(F3-F4) / (F5/SQRT(F6))</t>
  </si>
  <si>
    <t>t-PDF</t>
  </si>
  <si>
    <t>=T.DIST(2.31,8,TRUE)</t>
  </si>
  <si>
    <t>=T.DIST(1.86,8,TRUE)</t>
  </si>
  <si>
    <t>AUC at critical t = 2.31, d.f. = 8</t>
  </si>
  <si>
    <t>x-axis</t>
  </si>
  <si>
    <t>before</t>
  </si>
  <si>
    <t>after</t>
  </si>
  <si>
    <t>diff</t>
  </si>
  <si>
    <t>=H5 / (H6/SQRT(H7))</t>
  </si>
  <si>
    <t>noisy</t>
  </si>
  <si>
    <t>quiet</t>
  </si>
  <si>
    <t>AUC at critical t = 2.023, d.f. = 9</t>
  </si>
  <si>
    <t>AUC at critical t = 1.86, d.f. = 8</t>
  </si>
  <si>
    <t>=T.DIST(2.262,9,TRUE)</t>
  </si>
  <si>
    <t>=T.DIST(2.023,9,TRUE)</t>
  </si>
  <si>
    <t>AUC at critical t = 2.262, d.f. = 9</t>
  </si>
  <si>
    <t>=COUNT(E3:E8)</t>
  </si>
  <si>
    <t>=SUM(H3:H8)</t>
  </si>
  <si>
    <t>cosmetics filling process…</t>
  </si>
  <si>
    <t>comprehension test scores…</t>
  </si>
  <si>
    <t>=F18-F3</t>
  </si>
  <si>
    <t>upper bound minus mean</t>
  </si>
  <si>
    <t>=CONFIDENCE.T(0.05,F4,F5)</t>
  </si>
  <si>
    <t>mean minus lower bound</t>
  </si>
  <si>
    <t>=F3-F17</t>
  </si>
  <si>
    <t>=F3+F16*(F4/SQRT(F5))</t>
  </si>
  <si>
    <t>CI upper bound</t>
  </si>
  <si>
    <t>=F3-F16*(F4/SQRT(F5))</t>
  </si>
  <si>
    <t>CI lower bound</t>
  </si>
  <si>
    <t>=T.INV(0.975,COUNT(B3:B14-1))</t>
  </si>
  <si>
    <t>critical t</t>
  </si>
  <si>
    <t>=F10-F3</t>
  </si>
  <si>
    <t>=CONFIDENCE(0.05,F4,F5)</t>
  </si>
  <si>
    <t>=F3-F9</t>
  </si>
  <si>
    <t>=F3+F8*(F4/SQRT(F5))</t>
  </si>
  <si>
    <t>=F3-F8*(F4/SQRT(F5))</t>
  </si>
  <si>
    <t>critical z</t>
  </si>
  <si>
    <t>=COUNT(B3:B14)</t>
  </si>
  <si>
    <t>=STDEV.S(B3:B14)</t>
  </si>
  <si>
    <t>stdev</t>
  </si>
  <si>
    <t>=AVERAGE(B3:B14)</t>
  </si>
  <si>
    <t>mean</t>
  </si>
  <si>
    <t>X</t>
  </si>
  <si>
    <t>upper</t>
  </si>
  <si>
    <t>lower</t>
  </si>
  <si>
    <t>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</si>
</sst>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  <numFmt numFmtId="167" formatCode="_(* #,##0.000_);_(* \(#,##0.000\);_(* &quot;-&quot;??_);_(@_)"/>
    <numFmt numFmtId="168" formatCode="_(* #,##0.0_);_(* \(#,##0.0\);_(* &quot;-&quot;??_);_(@_)"/>
    <numFmt numFmtId="169" formatCode="0.0000000"/>
    <numFmt numFmtId="170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quotePrefix="1"/>
    <xf numFmtId="43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43" fontId="0" fillId="2" borderId="0" xfId="1" applyFont="1" applyFill="1"/>
    <xf numFmtId="0" fontId="3" fillId="0" borderId="0" xfId="0" applyFont="1"/>
    <xf numFmtId="0" fontId="3" fillId="0" borderId="0" xfId="0" quotePrefix="1" applyFont="1"/>
    <xf numFmtId="43" fontId="3" fillId="0" borderId="0" xfId="1" applyFont="1"/>
    <xf numFmtId="43" fontId="0" fillId="2" borderId="0" xfId="1" applyFont="1" applyFill="1" applyAlignment="1">
      <alignment horizontal="center"/>
    </xf>
    <xf numFmtId="165" fontId="0" fillId="0" borderId="0" xfId="1" applyNumberFormat="1" applyFont="1"/>
    <xf numFmtId="43" fontId="0" fillId="0" borderId="0" xfId="0" quotePrefix="1" applyNumberFormat="1"/>
    <xf numFmtId="0" fontId="0" fillId="2" borderId="0" xfId="1" applyNumberFormat="1" applyFont="1" applyFill="1" applyAlignment="1">
      <alignment horizontal="center"/>
    </xf>
    <xf numFmtId="0" fontId="0" fillId="0" borderId="0" xfId="1" quotePrefix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64" fontId="3" fillId="0" borderId="0" xfId="0" applyNumberFormat="1" applyFont="1" applyAlignment="1">
      <alignment horizontal="center"/>
    </xf>
    <xf numFmtId="166" fontId="0" fillId="0" borderId="0" xfId="0" applyNumberFormat="1"/>
    <xf numFmtId="166" fontId="3" fillId="0" borderId="0" xfId="0" applyNumberFormat="1" applyFont="1"/>
    <xf numFmtId="167" fontId="0" fillId="0" borderId="0" xfId="1" applyNumberFormat="1" applyFont="1" applyAlignment="1">
      <alignment horizontal="center"/>
    </xf>
    <xf numFmtId="167" fontId="0" fillId="0" borderId="0" xfId="1" applyNumberFormat="1" applyFont="1"/>
    <xf numFmtId="168" fontId="0" fillId="0" borderId="0" xfId="1" applyNumberFormat="1" applyFont="1"/>
    <xf numFmtId="2" fontId="3" fillId="0" borderId="0" xfId="0" applyNumberFormat="1" applyFont="1"/>
    <xf numFmtId="43" fontId="0" fillId="0" borderId="0" xfId="0" applyNumberFormat="1"/>
    <xf numFmtId="2" fontId="0" fillId="0" borderId="0" xfId="0" applyNumberFormat="1"/>
    <xf numFmtId="168" fontId="0" fillId="0" borderId="0" xfId="1" applyNumberFormat="1" applyFont="1" applyAlignment="1">
      <alignment horizontal="center"/>
    </xf>
    <xf numFmtId="43" fontId="0" fillId="0" borderId="0" xfId="1" applyFont="1" applyAlignment="1">
      <alignment horizontal="center"/>
    </xf>
    <xf numFmtId="167" fontId="3" fillId="0" borderId="0" xfId="1" applyNumberFormat="1" applyFont="1"/>
    <xf numFmtId="169" fontId="0" fillId="0" borderId="0" xfId="0" applyNumberFormat="1"/>
    <xf numFmtId="170" fontId="3" fillId="0" borderId="0" xfId="1" applyNumberFormat="1" applyFont="1"/>
    <xf numFmtId="170" fontId="3" fillId="0" borderId="0" xfId="0" applyNumberFormat="1" applyFont="1"/>
    <xf numFmtId="1" fontId="3" fillId="0" borderId="0" xfId="0" applyNumberFormat="1" applyFont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1" applyNumberFormat="1" applyFont="1"/>
    <xf numFmtId="43" fontId="0" fillId="0" borderId="0" xfId="0" applyNumberFormat="1" applyAlignment="1">
      <alignment horizontal="center"/>
    </xf>
    <xf numFmtId="43" fontId="0" fillId="3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't.dist chart'!$C$2</c:f>
              <c:strCache>
                <c:ptCount val="1"/>
                <c:pt idx="0">
                  <c:v> t-PDF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't.dist chart'!$B$3:$B$19</c:f>
              <c:numCache>
                <c:formatCode>_(* #,##0.0_);_(* \(#,##0.0\);_(* "-"??_);_(@_)</c:formatCode>
                <c:ptCount val="17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</c:numCache>
            </c:numRef>
          </c:cat>
          <c:val>
            <c:numRef>
              <c:f>'t.dist chart'!$C$3:$C$19</c:f>
              <c:numCache>
                <c:formatCode>_(* #,##0.00_);_(* \(#,##0.00\);_(* "-"??_);_(@_)</c:formatCode>
                <c:ptCount val="17"/>
                <c:pt idx="0">
                  <c:v>5.1237270519179116E-3</c:v>
                </c:pt>
                <c:pt idx="1">
                  <c:v>9.244354092520923E-3</c:v>
                </c:pt>
                <c:pt idx="2">
                  <c:v>1.7292578800222964E-2</c:v>
                </c:pt>
                <c:pt idx="3">
                  <c:v>3.3326238887022831E-2</c:v>
                </c:pt>
                <c:pt idx="4">
                  <c:v>6.5090310326216497E-2</c:v>
                </c:pt>
                <c:pt idx="5">
                  <c:v>0.12451734464635514</c:v>
                </c:pt>
                <c:pt idx="6">
                  <c:v>0.2196797973509807</c:v>
                </c:pt>
                <c:pt idx="7">
                  <c:v>0.32791853132274656</c:v>
                </c:pt>
                <c:pt idx="8">
                  <c:v>0.37960668982249451</c:v>
                </c:pt>
                <c:pt idx="9">
                  <c:v>0.32791853132274656</c:v>
                </c:pt>
                <c:pt idx="10">
                  <c:v>0.2196797973509807</c:v>
                </c:pt>
                <c:pt idx="11">
                  <c:v>0.12451734464635514</c:v>
                </c:pt>
                <c:pt idx="12">
                  <c:v>6.5090310326216497E-2</c:v>
                </c:pt>
                <c:pt idx="13">
                  <c:v>3.3326238887022831E-2</c:v>
                </c:pt>
                <c:pt idx="14">
                  <c:v>1.7292578800222964E-2</c:v>
                </c:pt>
                <c:pt idx="15">
                  <c:v>9.244354092520923E-3</c:v>
                </c:pt>
                <c:pt idx="16">
                  <c:v>5.1237270519179116E-3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3-49D2-8430-A62D9280C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189615"/>
        <c:axId val="1116194895"/>
      </c:lineChart>
      <c:catAx>
        <c:axId val="1116189615"/>
        <c:scaling>
          <c:orientation val="minMax"/>
        </c:scaling>
        <c:delete val="0"/>
        <c:axPos val="b"/>
        <c:numFmt formatCode="_(* #,##0.0_);_(* \(#,##0.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94895"/>
        <c:crosses val="autoZero"/>
        <c:auto val="1"/>
        <c:lblAlgn val="ctr"/>
        <c:lblOffset val="100"/>
        <c:noMultiLvlLbl val="0"/>
      </c:catAx>
      <c:valAx>
        <c:axId val="111619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18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'conf int 2'!$B$2</c:f>
              <c:strCache>
                <c:ptCount val="1"/>
                <c:pt idx="0">
                  <c:v>X</c:v>
                </c:pt>
              </c:strCache>
            </c:strRef>
          </c:tx>
          <c:spPr>
            <a:ln w="38100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'conf int 2'!$B$3:$B$14</c:f>
              <c:numCache>
                <c:formatCode>General</c:formatCode>
                <c:ptCount val="12"/>
                <c:pt idx="0">
                  <c:v>42</c:v>
                </c:pt>
                <c:pt idx="1">
                  <c:v>62</c:v>
                </c:pt>
                <c:pt idx="2">
                  <c:v>68</c:v>
                </c:pt>
                <c:pt idx="3">
                  <c:v>78</c:v>
                </c:pt>
                <c:pt idx="4">
                  <c:v>35</c:v>
                </c:pt>
                <c:pt idx="5">
                  <c:v>50</c:v>
                </c:pt>
                <c:pt idx="6">
                  <c:v>90</c:v>
                </c:pt>
                <c:pt idx="7">
                  <c:v>79</c:v>
                </c:pt>
                <c:pt idx="8">
                  <c:v>41</c:v>
                </c:pt>
                <c:pt idx="9">
                  <c:v>18</c:v>
                </c:pt>
                <c:pt idx="10">
                  <c:v>56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9-4D73-BB11-77B88DA654AE}"/>
            </c:ext>
          </c:extLst>
        </c:ser>
        <c:ser>
          <c:idx val="1"/>
          <c:order val="1"/>
          <c:tx>
            <c:strRef>
              <c:f>'conf int 2'!$F$2</c:f>
              <c:strCache>
                <c:ptCount val="1"/>
                <c:pt idx="0">
                  <c:v>lower</c:v>
                </c:pt>
              </c:strCache>
            </c:strRef>
          </c:tx>
          <c:spPr>
            <a:ln w="9525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'conf int 2'!$F$3:$F$14</c:f>
              <c:numCache>
                <c:formatCode>_(* #,##0.00_);_(* \(#,##0.00\);_(* "-"??_);_(@_)</c:formatCode>
                <c:ptCount val="12"/>
                <c:pt idx="0">
                  <c:v>30.973948006284125</c:v>
                </c:pt>
                <c:pt idx="1">
                  <c:v>51.578038293614135</c:v>
                </c:pt>
                <c:pt idx="2">
                  <c:v>-5.4280430103676593</c:v>
                </c:pt>
                <c:pt idx="3">
                  <c:v>64.353324631486359</c:v>
                </c:pt>
                <c:pt idx="4">
                  <c:v>5.980464894807163</c:v>
                </c:pt>
                <c:pt idx="5">
                  <c:v>43.98113345966371</c:v>
                </c:pt>
                <c:pt idx="6">
                  <c:v>6.853539532377809</c:v>
                </c:pt>
                <c:pt idx="7">
                  <c:v>-19.80391081542119</c:v>
                </c:pt>
                <c:pt idx="8">
                  <c:v>30.151861420862296</c:v>
                </c:pt>
                <c:pt idx="9">
                  <c:v>-24.776944340247205</c:v>
                </c:pt>
                <c:pt idx="10">
                  <c:v>30.204857684273044</c:v>
                </c:pt>
                <c:pt idx="11">
                  <c:v>53.106318628276611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9-4D73-BB11-77B88DA654AE}"/>
            </c:ext>
          </c:extLst>
        </c:ser>
        <c:ser>
          <c:idx val="2"/>
          <c:order val="2"/>
          <c:tx>
            <c:strRef>
              <c:f>'conf int 2'!$G$2</c:f>
              <c:strCache>
                <c:ptCount val="1"/>
                <c:pt idx="0">
                  <c:v>upper</c:v>
                </c:pt>
              </c:strCache>
            </c:strRef>
          </c:tx>
          <c:spPr>
            <a:ln w="9525" cap="rnd">
              <a:solidFill>
                <a:schemeClr val="tx1">
                  <a:lumMod val="65000"/>
                  <a:lumOff val="3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'conf int 2'!$G$3:$G$14</c:f>
              <c:numCache>
                <c:formatCode>_(* #,##0.00_);_(* \(#,##0.00\);_(* "-"??_);_(@_)</c:formatCode>
                <c:ptCount val="12"/>
                <c:pt idx="0">
                  <c:v>53.026051993715875</c:v>
                </c:pt>
                <c:pt idx="1">
                  <c:v>72.421961706385872</c:v>
                </c:pt>
                <c:pt idx="2">
                  <c:v>141.42804301036767</c:v>
                </c:pt>
                <c:pt idx="3">
                  <c:v>91.646675368513641</c:v>
                </c:pt>
                <c:pt idx="4">
                  <c:v>64.01953510519283</c:v>
                </c:pt>
                <c:pt idx="5">
                  <c:v>56.01886654033629</c:v>
                </c:pt>
                <c:pt idx="6">
                  <c:v>173.14646046762221</c:v>
                </c:pt>
                <c:pt idx="7">
                  <c:v>177.8039108154212</c:v>
                </c:pt>
                <c:pt idx="8">
                  <c:v>51.848138579137704</c:v>
                </c:pt>
                <c:pt idx="9">
                  <c:v>60.776944340247205</c:v>
                </c:pt>
                <c:pt idx="10">
                  <c:v>81.795142315726963</c:v>
                </c:pt>
                <c:pt idx="11">
                  <c:v>66.893681371723389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9-4D73-BB11-77B88DA65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015376"/>
        <c:axId val="311836576"/>
      </c:lineChart>
      <c:catAx>
        <c:axId val="1467015376"/>
        <c:scaling>
          <c:orientation val="minMax"/>
        </c:scaling>
        <c:delete val="1"/>
        <c:axPos val="b"/>
        <c:majorTickMark val="none"/>
        <c:minorTickMark val="none"/>
        <c:tickLblPos val="nextTo"/>
        <c:crossAx val="311836576"/>
        <c:crosses val="autoZero"/>
        <c:auto val="1"/>
        <c:lblAlgn val="ctr"/>
        <c:lblOffset val="100"/>
        <c:noMultiLvlLbl val="0"/>
      </c:catAx>
      <c:valAx>
        <c:axId val="31183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1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84137</xdr:colOff>
      <xdr:row>2</xdr:row>
      <xdr:rowOff>84138</xdr:rowOff>
    </xdr:from>
    <xdr:to>
      <xdr:col>11</xdr:col>
      <xdr:colOff>368300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D1597-21C5-4401-86D8-7C38FCC12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2A034-6536-4086-BA0C-10EACAF6A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87E7-AA34-448D-B3A8-F9D99ED903FD}">
  <dimension ref="B2:I13"/>
  <sheetViews>
    <sheetView tabSelected="1" workbookViewId="0">
      <selection activeCell="E18" sqref="E18"/>
    </sheetView>
  </sheetViews>
  <sheetFormatPr defaultColWidth="9.7265625" defaultRowHeight="14.5" customHeight="1" x14ac:dyDescent="0.35"/>
  <cols>
    <col min="1" max="1" width="3.6328125" customWidth="1"/>
    <col min="2" max="2" width="15.453125" customWidth="1"/>
    <col min="5" max="5" width="22.36328125" bestFit="1" customWidth="1"/>
    <col min="6" max="6" width="26.36328125" customWidth="1"/>
  </cols>
  <sheetData>
    <row r="2" spans="2:9" ht="14.5" customHeight="1" x14ac:dyDescent="0.35">
      <c r="B2" s="5" t="s">
        <v>1</v>
      </c>
      <c r="C2" s="5" t="s">
        <v>2</v>
      </c>
      <c r="E2" s="5" t="s">
        <v>1</v>
      </c>
      <c r="F2" s="5" t="s">
        <v>3</v>
      </c>
      <c r="G2" s="5" t="s">
        <v>4</v>
      </c>
      <c r="I2" t="s">
        <v>98</v>
      </c>
    </row>
    <row r="3" spans="2:9" ht="14.5" customHeight="1" x14ac:dyDescent="0.35">
      <c r="B3" t="s">
        <v>63</v>
      </c>
      <c r="C3" s="21">
        <v>4.5999999999999996</v>
      </c>
      <c r="E3" t="s">
        <v>8</v>
      </c>
      <c r="F3" s="1" t="s">
        <v>67</v>
      </c>
      <c r="G3" s="2">
        <f>(C3-C4)/(C5/SQRT(C6))</f>
        <v>1.7999999999999989</v>
      </c>
    </row>
    <row r="4" spans="2:9" ht="14.5" customHeight="1" x14ac:dyDescent="0.35">
      <c r="B4" s="7" t="s">
        <v>64</v>
      </c>
      <c r="C4" s="22">
        <v>4</v>
      </c>
      <c r="E4" t="s">
        <v>9</v>
      </c>
      <c r="F4" s="1" t="s">
        <v>6</v>
      </c>
      <c r="G4" s="2">
        <f>_xlfn.NORM.INV(0.975,0,C5)</f>
        <v>1.9599639845400536</v>
      </c>
    </row>
    <row r="5" spans="2:9" ht="14.5" customHeight="1" x14ac:dyDescent="0.35">
      <c r="B5" s="7" t="s">
        <v>65</v>
      </c>
      <c r="C5" s="21">
        <v>1</v>
      </c>
      <c r="E5" t="s">
        <v>9</v>
      </c>
      <c r="F5" s="1" t="s">
        <v>5</v>
      </c>
      <c r="G5" s="2">
        <f>_xlfn.NORM.S.INV(0.975)</f>
        <v>1.9599639845400536</v>
      </c>
    </row>
    <row r="6" spans="2:9" ht="14.5" customHeight="1" x14ac:dyDescent="0.35">
      <c r="B6" t="s">
        <v>66</v>
      </c>
      <c r="C6">
        <v>9</v>
      </c>
      <c r="E6" t="s">
        <v>10</v>
      </c>
      <c r="F6" s="1" t="s">
        <v>11</v>
      </c>
      <c r="G6" s="24">
        <f>_xlfn.NORM.INV(0.95,0,C5)</f>
        <v>1.6448536269514715</v>
      </c>
    </row>
    <row r="7" spans="2:9" ht="14.5" customHeight="1" x14ac:dyDescent="0.35">
      <c r="E7" t="s">
        <v>10</v>
      </c>
      <c r="F7" s="1" t="s">
        <v>12</v>
      </c>
      <c r="G7" s="24">
        <f>_xlfn.NORM.S.INV(0.95)</f>
        <v>1.6448536269514715</v>
      </c>
    </row>
    <row r="9" spans="2:9" ht="14.5" customHeight="1" x14ac:dyDescent="0.35">
      <c r="E9" t="s">
        <v>72</v>
      </c>
      <c r="F9" s="1" t="s">
        <v>68</v>
      </c>
      <c r="G9" s="23">
        <f>_xlfn.NORM.DIST(1.96,0,C5,TRUE)</f>
        <v>0.97500210485177952</v>
      </c>
    </row>
    <row r="10" spans="2:9" ht="14.5" customHeight="1" x14ac:dyDescent="0.35">
      <c r="E10" t="s">
        <v>73</v>
      </c>
      <c r="F10" s="1" t="s">
        <v>69</v>
      </c>
      <c r="G10" s="23">
        <f>_xlfn.NORM.DIST(1.645,0,C5,TRUE)</f>
        <v>0.95001509446087862</v>
      </c>
    </row>
    <row r="11" spans="2:9" ht="14.5" customHeight="1" x14ac:dyDescent="0.35">
      <c r="E11" t="s">
        <v>71</v>
      </c>
      <c r="F11" s="1" t="s">
        <v>70</v>
      </c>
      <c r="G11" s="23">
        <f>_xlfn.NORM.DIST(1.8,0,C5,TRUE)</f>
        <v>0.96406968088707423</v>
      </c>
    </row>
    <row r="13" spans="2:9" ht="14.5" customHeight="1" x14ac:dyDescent="0.35">
      <c r="E13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A691-787F-4A09-9D8F-FEBFF2138068}">
  <dimension ref="B2:D7"/>
  <sheetViews>
    <sheetView workbookViewId="0">
      <selection activeCell="D3" sqref="D3"/>
    </sheetView>
  </sheetViews>
  <sheetFormatPr defaultColWidth="9.7265625" defaultRowHeight="14.5" customHeight="1" x14ac:dyDescent="0.35"/>
  <cols>
    <col min="1" max="1" width="3.6328125" customWidth="1"/>
    <col min="2" max="2" width="22.36328125" bestFit="1" customWidth="1"/>
    <col min="3" max="3" width="26.36328125" customWidth="1"/>
  </cols>
  <sheetData>
    <row r="2" spans="2:4" ht="14.5" customHeight="1" x14ac:dyDescent="0.35">
      <c r="B2" s="5" t="s">
        <v>1</v>
      </c>
      <c r="C2" s="5" t="s">
        <v>3</v>
      </c>
      <c r="D2" s="5" t="s">
        <v>4</v>
      </c>
    </row>
    <row r="3" spans="2:4" ht="14.5" customHeight="1" x14ac:dyDescent="0.35">
      <c r="B3" t="s">
        <v>72</v>
      </c>
      <c r="C3" s="1" t="s">
        <v>68</v>
      </c>
      <c r="D3" s="23">
        <f>_xlfn.NORM.DIST(1.96,0,1,TRUE)</f>
        <v>0.97500210485177952</v>
      </c>
    </row>
    <row r="4" spans="2:4" ht="14.5" customHeight="1" x14ac:dyDescent="0.35">
      <c r="B4" t="s">
        <v>73</v>
      </c>
      <c r="C4" s="1" t="s">
        <v>69</v>
      </c>
      <c r="D4" s="23">
        <f>_xlfn.NORM.DIST(1.645,0,1,TRUE)</f>
        <v>0.95001509446087862</v>
      </c>
    </row>
    <row r="5" spans="2:4" ht="14.5" customHeight="1" x14ac:dyDescent="0.35">
      <c r="B5" t="s">
        <v>71</v>
      </c>
      <c r="C5" s="1" t="s">
        <v>70</v>
      </c>
      <c r="D5" s="23">
        <f>_xlfn.NORM.DIST(1.8,0,1,TRUE)</f>
        <v>0.96406968088707423</v>
      </c>
    </row>
    <row r="7" spans="2:4" ht="14.5" customHeight="1" x14ac:dyDescent="0.35">
      <c r="B7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DF29-6261-41D0-BBA7-10A73D02FABD}">
  <dimension ref="B2:L16"/>
  <sheetViews>
    <sheetView workbookViewId="0">
      <selection activeCell="I11" sqref="I11"/>
    </sheetView>
  </sheetViews>
  <sheetFormatPr defaultColWidth="9.7265625" defaultRowHeight="14.5" customHeight="1" x14ac:dyDescent="0.35"/>
  <cols>
    <col min="1" max="1" width="3.6328125" customWidth="1"/>
    <col min="2" max="2" width="9.7265625" style="16"/>
    <col min="3" max="3" width="9.7265625" style="7"/>
    <col min="4" max="4" width="11" style="7" customWidth="1"/>
    <col min="5" max="5" width="18.26953125" style="7" customWidth="1"/>
    <col min="6" max="6" width="9.7265625" style="7"/>
    <col min="8" max="8" width="19.81640625" customWidth="1"/>
    <col min="9" max="9" width="22.1796875" customWidth="1"/>
    <col min="10" max="10" width="10.26953125" style="2" bestFit="1" customWidth="1"/>
    <col min="12" max="12" width="15" style="3" customWidth="1"/>
  </cols>
  <sheetData>
    <row r="2" spans="2:12" ht="14.5" customHeight="1" x14ac:dyDescent="0.35">
      <c r="B2" s="18" t="s">
        <v>2</v>
      </c>
      <c r="D2" s="19" t="s">
        <v>1</v>
      </c>
      <c r="E2" s="19" t="s">
        <v>3</v>
      </c>
      <c r="F2" s="19" t="s">
        <v>2</v>
      </c>
      <c r="H2" s="5" t="s">
        <v>1</v>
      </c>
      <c r="I2" s="5" t="s">
        <v>3</v>
      </c>
      <c r="J2" s="6" t="s">
        <v>4</v>
      </c>
      <c r="L2" s="10" t="s">
        <v>20</v>
      </c>
    </row>
    <row r="3" spans="2:12" ht="14.5" customHeight="1" x14ac:dyDescent="0.35">
      <c r="B3" s="17">
        <v>3.85</v>
      </c>
      <c r="C3" s="26"/>
      <c r="D3" s="7" t="s">
        <v>62</v>
      </c>
      <c r="E3" s="8" t="s">
        <v>13</v>
      </c>
      <c r="F3" s="33">
        <f>AVERAGE(B3:B11)</f>
        <v>4.2666666666666666</v>
      </c>
      <c r="H3" t="s">
        <v>16</v>
      </c>
      <c r="I3" s="1" t="s">
        <v>79</v>
      </c>
      <c r="J3" s="2">
        <f>(F3-F4)/(F5/SQRT(F6))</f>
        <v>2.9226486632063557</v>
      </c>
      <c r="L3" s="3" t="str">
        <f>IF(ABS(J3)&lt;ABS(J4),"Fail to Reject H0","Reject H0")</f>
        <v>Reject H0</v>
      </c>
    </row>
    <row r="4" spans="2:12" ht="14.5" customHeight="1" x14ac:dyDescent="0.45">
      <c r="B4" s="17">
        <v>4.2</v>
      </c>
      <c r="C4" s="26"/>
      <c r="D4" s="7" t="s">
        <v>19</v>
      </c>
      <c r="E4" s="8" t="s">
        <v>7</v>
      </c>
      <c r="F4" s="34">
        <v>4</v>
      </c>
      <c r="H4" t="s">
        <v>17</v>
      </c>
      <c r="I4" s="1" t="s">
        <v>76</v>
      </c>
      <c r="J4" s="2">
        <f>_xlfn.T.INV(0.025,F6-1)</f>
        <v>-2.3060041352041671</v>
      </c>
    </row>
    <row r="5" spans="2:12" ht="14.5" customHeight="1" x14ac:dyDescent="0.35">
      <c r="B5" s="17">
        <v>4.16</v>
      </c>
      <c r="C5" s="26"/>
      <c r="D5" s="7" t="s">
        <v>15</v>
      </c>
      <c r="E5" s="8" t="s">
        <v>75</v>
      </c>
      <c r="F5" s="33">
        <f>_xlfn.STDEV.S(B3:B11)</f>
        <v>0.27372431386341944</v>
      </c>
      <c r="H5" t="s">
        <v>17</v>
      </c>
      <c r="I5" s="1" t="s">
        <v>77</v>
      </c>
      <c r="J5" s="2">
        <f>_xlfn.T.INV.2T(0.05,F6-1)</f>
        <v>2.3060041352041671</v>
      </c>
    </row>
    <row r="6" spans="2:12" ht="14.5" customHeight="1" x14ac:dyDescent="0.35">
      <c r="B6" s="17">
        <v>4.3599999999999994</v>
      </c>
      <c r="C6" s="26"/>
      <c r="D6" s="7" t="s">
        <v>0</v>
      </c>
      <c r="E6" s="8" t="s">
        <v>14</v>
      </c>
      <c r="F6" s="35">
        <f>COUNT(B3:B11)</f>
        <v>9</v>
      </c>
      <c r="H6" t="s">
        <v>18</v>
      </c>
      <c r="I6" s="1" t="s">
        <v>78</v>
      </c>
      <c r="J6" s="2">
        <f>_xlfn.T.INV(0.95,F6-1)</f>
        <v>1.8595480375308975</v>
      </c>
    </row>
    <row r="7" spans="2:12" ht="14.5" customHeight="1" x14ac:dyDescent="0.35">
      <c r="B7" s="17">
        <v>4.24</v>
      </c>
      <c r="C7" s="26"/>
      <c r="I7" s="1"/>
    </row>
    <row r="8" spans="2:12" ht="14.5" customHeight="1" x14ac:dyDescent="0.35">
      <c r="B8" s="17">
        <v>4.54</v>
      </c>
      <c r="C8" s="26"/>
    </row>
    <row r="9" spans="2:12" ht="14.5" customHeight="1" x14ac:dyDescent="0.35">
      <c r="B9" s="17">
        <v>4.5999999999999996</v>
      </c>
      <c r="C9" s="26"/>
    </row>
    <row r="10" spans="2:12" ht="14.5" customHeight="1" x14ac:dyDescent="0.35">
      <c r="B10" s="17">
        <v>3.9</v>
      </c>
      <c r="C10" s="26"/>
    </row>
    <row r="11" spans="2:12" ht="14.5" customHeight="1" x14ac:dyDescent="0.35">
      <c r="B11" s="17">
        <v>4.5499999999999972</v>
      </c>
      <c r="C11" s="26"/>
    </row>
    <row r="13" spans="2:12" ht="14.5" customHeight="1" x14ac:dyDescent="0.35">
      <c r="B13" s="20"/>
    </row>
    <row r="16" spans="2:12" ht="14.5" customHeight="1" x14ac:dyDescent="0.35">
      <c r="H1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DEC8C-5DE1-4733-9C08-066CBA6ACA40}">
  <dimension ref="B2:J19"/>
  <sheetViews>
    <sheetView zoomScaleNormal="100" workbookViewId="0"/>
  </sheetViews>
  <sheetFormatPr defaultColWidth="9.7265625" defaultRowHeight="14.5" customHeight="1" x14ac:dyDescent="0.35"/>
  <cols>
    <col min="1" max="1" width="3.6328125" customWidth="1"/>
    <col min="2" max="2" width="27.08984375" customWidth="1"/>
    <col min="3" max="3" width="21.81640625" customWidth="1"/>
    <col min="6" max="6" width="9.7265625" style="25"/>
    <col min="7" max="8" width="9.7265625" style="2"/>
  </cols>
  <sheetData>
    <row r="2" spans="2:10" ht="14.5" customHeight="1" x14ac:dyDescent="0.35">
      <c r="B2" s="5" t="s">
        <v>1</v>
      </c>
      <c r="C2" s="5" t="s">
        <v>3</v>
      </c>
      <c r="D2" s="5" t="s">
        <v>4</v>
      </c>
    </row>
    <row r="3" spans="2:10" ht="14.5" customHeight="1" x14ac:dyDescent="0.35">
      <c r="B3" t="s">
        <v>83</v>
      </c>
      <c r="C3" s="1" t="s">
        <v>81</v>
      </c>
      <c r="D3" s="23">
        <f>_xlfn.T.DIST(2.31,8,TRUE)</f>
        <v>0.97515545769217349</v>
      </c>
      <c r="I3" s="28"/>
      <c r="J3" s="28"/>
    </row>
    <row r="4" spans="2:10" ht="14.5" customHeight="1" x14ac:dyDescent="0.35">
      <c r="B4" t="s">
        <v>92</v>
      </c>
      <c r="C4" s="1" t="s">
        <v>82</v>
      </c>
      <c r="D4" s="23">
        <f>_xlfn.T.DIST(1.86,8,TRUE)</f>
        <v>0.95003469454452105</v>
      </c>
      <c r="I4" s="27"/>
      <c r="J4" s="27"/>
    </row>
    <row r="5" spans="2:10" ht="14.5" customHeight="1" x14ac:dyDescent="0.35">
      <c r="I5" s="27"/>
      <c r="J5" s="27"/>
    </row>
    <row r="6" spans="2:10" ht="14.5" customHeight="1" x14ac:dyDescent="0.35">
      <c r="I6" s="27"/>
      <c r="J6" s="27"/>
    </row>
    <row r="7" spans="2:10" ht="14.5" customHeight="1" x14ac:dyDescent="0.35">
      <c r="I7" s="27"/>
      <c r="J7" s="27"/>
    </row>
    <row r="8" spans="2:10" ht="14.5" customHeight="1" x14ac:dyDescent="0.35">
      <c r="I8" s="27"/>
      <c r="J8" s="27"/>
    </row>
    <row r="9" spans="2:10" ht="14.5" customHeight="1" x14ac:dyDescent="0.35">
      <c r="I9" s="27"/>
      <c r="J9" s="27"/>
    </row>
    <row r="10" spans="2:10" ht="14.5" customHeight="1" x14ac:dyDescent="0.35">
      <c r="I10" s="27"/>
      <c r="J10" s="27"/>
    </row>
    <row r="11" spans="2:10" ht="14.5" customHeight="1" x14ac:dyDescent="0.35">
      <c r="I11" s="27"/>
      <c r="J11" s="27"/>
    </row>
    <row r="12" spans="2:10" ht="14.5" customHeight="1" x14ac:dyDescent="0.35">
      <c r="I12" s="27"/>
      <c r="J12" s="27"/>
    </row>
    <row r="13" spans="2:10" ht="14.5" customHeight="1" x14ac:dyDescent="0.35">
      <c r="I13" s="27"/>
      <c r="J13" s="27"/>
    </row>
    <row r="14" spans="2:10" ht="14.5" customHeight="1" x14ac:dyDescent="0.35">
      <c r="I14" s="27"/>
      <c r="J14" s="27"/>
    </row>
    <row r="15" spans="2:10" ht="14.5" customHeight="1" x14ac:dyDescent="0.35">
      <c r="I15" s="27"/>
      <c r="J15" s="27"/>
    </row>
    <row r="16" spans="2:10" ht="14.5" customHeight="1" x14ac:dyDescent="0.35">
      <c r="I16" s="27"/>
      <c r="J16" s="27"/>
    </row>
    <row r="17" spans="9:10" ht="14.5" customHeight="1" x14ac:dyDescent="0.35">
      <c r="I17" s="27"/>
      <c r="J17" s="27"/>
    </row>
    <row r="18" spans="9:10" ht="14.5" customHeight="1" x14ac:dyDescent="0.35">
      <c r="I18" s="27"/>
      <c r="J18" s="27"/>
    </row>
    <row r="19" spans="9:10" ht="14.5" customHeight="1" x14ac:dyDescent="0.35">
      <c r="I19" s="27"/>
      <c r="J19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35F0-E86A-46F4-8791-FF61D3C5D395}">
  <dimension ref="B2:C19"/>
  <sheetViews>
    <sheetView zoomScaleNormal="100" workbookViewId="0">
      <selection activeCell="C3" sqref="C3"/>
    </sheetView>
  </sheetViews>
  <sheetFormatPr defaultColWidth="9.7265625" defaultRowHeight="14.5" customHeight="1" x14ac:dyDescent="0.35"/>
  <cols>
    <col min="1" max="1" width="3.6328125" customWidth="1"/>
    <col min="2" max="2" width="9.7265625" style="29"/>
    <col min="3" max="3" width="9.7265625" style="30"/>
  </cols>
  <sheetData>
    <row r="2" spans="2:3" ht="14.5" customHeight="1" x14ac:dyDescent="0.35">
      <c r="B2" s="29" t="s">
        <v>84</v>
      </c>
      <c r="C2" s="30" t="s">
        <v>80</v>
      </c>
    </row>
    <row r="3" spans="2:3" ht="14.5" customHeight="1" x14ac:dyDescent="0.35">
      <c r="B3" s="29">
        <v>-4</v>
      </c>
      <c r="C3" s="30">
        <f>_xlfn.T.DIST(B3,5,FALSE)</f>
        <v>5.1237270519179116E-3</v>
      </c>
    </row>
    <row r="4" spans="2:3" ht="14.5" customHeight="1" x14ac:dyDescent="0.35">
      <c r="B4" s="29">
        <v>-3.5</v>
      </c>
      <c r="C4" s="30">
        <f t="shared" ref="C4:C19" si="0">_xlfn.T.DIST(B4,5,FALSE)</f>
        <v>9.244354092520923E-3</v>
      </c>
    </row>
    <row r="5" spans="2:3" ht="14.5" customHeight="1" x14ac:dyDescent="0.35">
      <c r="B5" s="29">
        <v>-3</v>
      </c>
      <c r="C5" s="30">
        <f t="shared" si="0"/>
        <v>1.7292578800222964E-2</v>
      </c>
    </row>
    <row r="6" spans="2:3" ht="14.5" customHeight="1" x14ac:dyDescent="0.35">
      <c r="B6" s="29">
        <v>-2.5</v>
      </c>
      <c r="C6" s="30">
        <f t="shared" si="0"/>
        <v>3.3326238887022831E-2</v>
      </c>
    </row>
    <row r="7" spans="2:3" ht="14.5" customHeight="1" x14ac:dyDescent="0.35">
      <c r="B7" s="29">
        <v>-2</v>
      </c>
      <c r="C7" s="30">
        <f t="shared" si="0"/>
        <v>6.5090310326216497E-2</v>
      </c>
    </row>
    <row r="8" spans="2:3" ht="14.5" customHeight="1" x14ac:dyDescent="0.35">
      <c r="B8" s="29">
        <v>-1.5</v>
      </c>
      <c r="C8" s="30">
        <f t="shared" si="0"/>
        <v>0.12451734464635514</v>
      </c>
    </row>
    <row r="9" spans="2:3" ht="14.5" customHeight="1" x14ac:dyDescent="0.35">
      <c r="B9" s="29">
        <v>-1</v>
      </c>
      <c r="C9" s="30">
        <f t="shared" si="0"/>
        <v>0.2196797973509807</v>
      </c>
    </row>
    <row r="10" spans="2:3" ht="14.5" customHeight="1" x14ac:dyDescent="0.35">
      <c r="B10" s="29">
        <v>-0.5</v>
      </c>
      <c r="C10" s="30">
        <f t="shared" si="0"/>
        <v>0.32791853132274656</v>
      </c>
    </row>
    <row r="11" spans="2:3" ht="14.5" customHeight="1" x14ac:dyDescent="0.35">
      <c r="B11" s="29">
        <v>0</v>
      </c>
      <c r="C11" s="30">
        <f>_xlfn.T.DIST(B11,5,FALSE)</f>
        <v>0.37960668982249451</v>
      </c>
    </row>
    <row r="12" spans="2:3" ht="14.5" customHeight="1" x14ac:dyDescent="0.35">
      <c r="B12" s="29">
        <v>0.5</v>
      </c>
      <c r="C12" s="30">
        <f t="shared" si="0"/>
        <v>0.32791853132274656</v>
      </c>
    </row>
    <row r="13" spans="2:3" ht="14.5" customHeight="1" x14ac:dyDescent="0.35">
      <c r="B13" s="29">
        <v>1</v>
      </c>
      <c r="C13" s="30">
        <f t="shared" si="0"/>
        <v>0.2196797973509807</v>
      </c>
    </row>
    <row r="14" spans="2:3" ht="14.5" customHeight="1" x14ac:dyDescent="0.35">
      <c r="B14" s="29">
        <v>1.5</v>
      </c>
      <c r="C14" s="30">
        <f t="shared" si="0"/>
        <v>0.12451734464635514</v>
      </c>
    </row>
    <row r="15" spans="2:3" ht="14.5" customHeight="1" x14ac:dyDescent="0.35">
      <c r="B15" s="29">
        <v>2</v>
      </c>
      <c r="C15" s="30">
        <f t="shared" si="0"/>
        <v>6.5090310326216497E-2</v>
      </c>
    </row>
    <row r="16" spans="2:3" ht="14.5" customHeight="1" x14ac:dyDescent="0.35">
      <c r="B16" s="29">
        <v>2.5</v>
      </c>
      <c r="C16" s="30">
        <f t="shared" si="0"/>
        <v>3.3326238887022831E-2</v>
      </c>
    </row>
    <row r="17" spans="2:3" ht="14.5" customHeight="1" x14ac:dyDescent="0.35">
      <c r="B17" s="29">
        <v>3</v>
      </c>
      <c r="C17" s="30">
        <f t="shared" si="0"/>
        <v>1.7292578800222964E-2</v>
      </c>
    </row>
    <row r="18" spans="2:3" ht="14.5" customHeight="1" x14ac:dyDescent="0.35">
      <c r="B18" s="29">
        <v>3.5</v>
      </c>
      <c r="C18" s="30">
        <f t="shared" si="0"/>
        <v>9.244354092520923E-3</v>
      </c>
    </row>
    <row r="19" spans="2:3" ht="14.5" customHeight="1" x14ac:dyDescent="0.35">
      <c r="B19" s="29">
        <v>4</v>
      </c>
      <c r="C19" s="30">
        <f t="shared" si="0"/>
        <v>5.1237270519179116E-3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47A4C-027A-47AB-B8BC-51106EBD4309}">
  <dimension ref="B2:N16"/>
  <sheetViews>
    <sheetView workbookViewId="0">
      <selection activeCell="K14" sqref="K14"/>
    </sheetView>
  </sheetViews>
  <sheetFormatPr defaultRowHeight="14.5" customHeight="1" x14ac:dyDescent="0.35"/>
  <cols>
    <col min="1" max="1" width="3.1796875" customWidth="1"/>
    <col min="2" max="4" width="8.7265625" style="3"/>
    <col min="6" max="6" width="11" customWidth="1"/>
    <col min="7" max="7" width="18.26953125" customWidth="1"/>
    <col min="8" max="8" width="8.7265625" style="2"/>
    <col min="10" max="10" width="19.81640625" customWidth="1"/>
    <col min="11" max="11" width="22.1796875" customWidth="1"/>
    <col min="12" max="12" width="10.26953125" style="2" bestFit="1" customWidth="1"/>
    <col min="14" max="14" width="15" style="3" customWidth="1"/>
  </cols>
  <sheetData>
    <row r="2" spans="2:14" ht="14.5" customHeight="1" x14ac:dyDescent="0.35">
      <c r="B2" s="4" t="s">
        <v>85</v>
      </c>
      <c r="C2" s="4" t="s">
        <v>86</v>
      </c>
      <c r="D2" s="4" t="s">
        <v>87</v>
      </c>
      <c r="F2" s="5" t="s">
        <v>1</v>
      </c>
      <c r="G2" s="5" t="s">
        <v>3</v>
      </c>
      <c r="H2" s="6" t="s">
        <v>2</v>
      </c>
      <c r="J2" s="5" t="s">
        <v>1</v>
      </c>
      <c r="K2" s="5" t="s">
        <v>3</v>
      </c>
      <c r="L2" s="6" t="s">
        <v>4</v>
      </c>
      <c r="N2" s="10" t="s">
        <v>20</v>
      </c>
    </row>
    <row r="3" spans="2:14" ht="14.5" customHeight="1" x14ac:dyDescent="0.45">
      <c r="B3" s="3">
        <v>27</v>
      </c>
      <c r="C3" s="3">
        <v>31</v>
      </c>
      <c r="D3" s="3">
        <f>C3-B3</f>
        <v>4</v>
      </c>
      <c r="F3" t="s">
        <v>23</v>
      </c>
      <c r="G3" s="1" t="s">
        <v>13</v>
      </c>
      <c r="H3" s="24">
        <f>AVERAGE(B3:B11)</f>
        <v>32.555555555555557</v>
      </c>
      <c r="J3" t="s">
        <v>16</v>
      </c>
      <c r="K3" s="1" t="s">
        <v>88</v>
      </c>
      <c r="L3" s="24">
        <f>H5/(H6/SQRT(H7))</f>
        <v>2.5533802144902977</v>
      </c>
      <c r="N3" s="3" t="str">
        <f>IF(ABS(L3)&lt;ABS(L4),"Fail to Reject H0","Reject H0")</f>
        <v>Reject H0</v>
      </c>
    </row>
    <row r="4" spans="2:14" ht="14.5" customHeight="1" x14ac:dyDescent="0.45">
      <c r="B4" s="3">
        <v>45</v>
      </c>
      <c r="C4" s="3">
        <v>54</v>
      </c>
      <c r="D4" s="3">
        <f t="shared" ref="D4:D11" si="0">C4-B4</f>
        <v>9</v>
      </c>
      <c r="F4" t="s">
        <v>21</v>
      </c>
      <c r="G4" s="8" t="s">
        <v>25</v>
      </c>
      <c r="H4" s="31">
        <f>AVERAGE(C3:C11)</f>
        <v>35.666666666666664</v>
      </c>
      <c r="J4" t="s">
        <v>17</v>
      </c>
      <c r="K4" s="1" t="s">
        <v>29</v>
      </c>
      <c r="L4" s="24">
        <f>_xlfn.T.INV(0.025,H7-1)</f>
        <v>-2.3060041352041671</v>
      </c>
    </row>
    <row r="5" spans="2:14" ht="14.5" customHeight="1" x14ac:dyDescent="0.35">
      <c r="B5" s="3">
        <v>38</v>
      </c>
      <c r="C5" s="3">
        <v>43</v>
      </c>
      <c r="D5" s="3">
        <f t="shared" si="0"/>
        <v>5</v>
      </c>
      <c r="F5" t="s">
        <v>22</v>
      </c>
      <c r="G5" s="8" t="s">
        <v>26</v>
      </c>
      <c r="H5" s="31">
        <f>AVERAGE(D3:D11)</f>
        <v>3.1111111111111112</v>
      </c>
      <c r="J5" t="s">
        <v>17</v>
      </c>
      <c r="K5" s="1" t="s">
        <v>30</v>
      </c>
      <c r="L5" s="24">
        <f>_xlfn.T.INV.2T(0.05,H7-1)</f>
        <v>2.3060041352041671</v>
      </c>
    </row>
    <row r="6" spans="2:14" ht="14.5" customHeight="1" x14ac:dyDescent="0.35">
      <c r="B6" s="3">
        <v>20</v>
      </c>
      <c r="C6" s="3">
        <v>28</v>
      </c>
      <c r="D6" s="3">
        <f t="shared" si="0"/>
        <v>8</v>
      </c>
      <c r="F6" s="7" t="s">
        <v>15</v>
      </c>
      <c r="G6" s="8" t="s">
        <v>27</v>
      </c>
      <c r="H6" s="31">
        <f>_xlfn.STDEV.S(D3:D11)</f>
        <v>3.655285366576885</v>
      </c>
      <c r="J6" t="s">
        <v>18</v>
      </c>
      <c r="K6" s="1" t="s">
        <v>31</v>
      </c>
      <c r="L6" s="24">
        <f>_xlfn.T.INV(0.95,H7-1)</f>
        <v>1.8595480375308975</v>
      </c>
    </row>
    <row r="7" spans="2:14" ht="14.5" customHeight="1" x14ac:dyDescent="0.35">
      <c r="B7" s="3">
        <v>22</v>
      </c>
      <c r="C7" s="3">
        <v>21</v>
      </c>
      <c r="D7" s="3">
        <f t="shared" si="0"/>
        <v>-1</v>
      </c>
      <c r="F7" s="7" t="s">
        <v>0</v>
      </c>
      <c r="G7" s="8" t="s">
        <v>28</v>
      </c>
      <c r="H7" s="11">
        <f>COUNT(D3:D11)</f>
        <v>9</v>
      </c>
      <c r="K7" s="1"/>
    </row>
    <row r="8" spans="2:14" ht="14.5" customHeight="1" x14ac:dyDescent="0.35">
      <c r="B8" s="3">
        <v>50</v>
      </c>
      <c r="C8" s="3">
        <v>49</v>
      </c>
      <c r="D8" s="3">
        <f t="shared" si="0"/>
        <v>-1</v>
      </c>
    </row>
    <row r="9" spans="2:14" ht="14.5" customHeight="1" x14ac:dyDescent="0.35">
      <c r="B9" s="3">
        <v>40</v>
      </c>
      <c r="C9" s="3">
        <v>41</v>
      </c>
      <c r="D9" s="3">
        <f t="shared" si="0"/>
        <v>1</v>
      </c>
    </row>
    <row r="10" spans="2:14" ht="14.5" customHeight="1" x14ac:dyDescent="0.35">
      <c r="B10" s="3">
        <v>33</v>
      </c>
      <c r="C10" s="3">
        <v>34</v>
      </c>
      <c r="D10" s="3">
        <f t="shared" si="0"/>
        <v>1</v>
      </c>
    </row>
    <row r="11" spans="2:14" ht="14.5" customHeight="1" x14ac:dyDescent="0.35">
      <c r="B11" s="3">
        <v>18</v>
      </c>
      <c r="C11" s="3">
        <v>20</v>
      </c>
      <c r="D11" s="3">
        <f t="shared" si="0"/>
        <v>2</v>
      </c>
    </row>
    <row r="16" spans="2:14" ht="14.5" customHeight="1" x14ac:dyDescent="0.35">
      <c r="F16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BA32-B808-451A-A6F0-36B9D6A47AC0}">
  <dimension ref="B2:N16"/>
  <sheetViews>
    <sheetView workbookViewId="0">
      <selection activeCell="F17" sqref="F17"/>
    </sheetView>
  </sheetViews>
  <sheetFormatPr defaultRowHeight="14.5" customHeight="1" x14ac:dyDescent="0.35"/>
  <cols>
    <col min="1" max="1" width="3.1796875" customWidth="1"/>
    <col min="2" max="3" width="8.7265625" style="3"/>
    <col min="4" max="4" width="9.90625" style="3" bestFit="1" customWidth="1"/>
    <col min="6" max="6" width="11" customWidth="1"/>
    <col min="7" max="7" width="18.26953125" customWidth="1"/>
    <col min="8" max="8" width="8.7265625" style="2"/>
    <col min="10" max="10" width="27.6328125" customWidth="1"/>
    <col min="11" max="11" width="22.1796875" customWidth="1"/>
    <col min="12" max="12" width="10.26953125" style="2" bestFit="1" customWidth="1"/>
    <col min="14" max="14" width="15" style="3" customWidth="1"/>
  </cols>
  <sheetData>
    <row r="2" spans="2:14" ht="14.5" customHeight="1" x14ac:dyDescent="0.35">
      <c r="B2" s="4" t="s">
        <v>89</v>
      </c>
      <c r="C2" s="4" t="s">
        <v>90</v>
      </c>
      <c r="D2" s="4" t="s">
        <v>87</v>
      </c>
      <c r="F2" s="5" t="s">
        <v>1</v>
      </c>
      <c r="G2" s="5" t="s">
        <v>3</v>
      </c>
      <c r="H2" s="6" t="s">
        <v>2</v>
      </c>
      <c r="J2" s="5" t="s">
        <v>1</v>
      </c>
      <c r="K2" s="5" t="s">
        <v>3</v>
      </c>
      <c r="L2" s="6" t="s">
        <v>4</v>
      </c>
      <c r="N2" s="10" t="s">
        <v>20</v>
      </c>
    </row>
    <row r="3" spans="2:14" ht="14.5" customHeight="1" x14ac:dyDescent="0.45">
      <c r="B3" s="3">
        <v>60</v>
      </c>
      <c r="C3" s="3">
        <v>65</v>
      </c>
      <c r="D3" s="3">
        <f>C3-B3</f>
        <v>5</v>
      </c>
      <c r="F3" t="s">
        <v>23</v>
      </c>
      <c r="G3" s="1" t="s">
        <v>32</v>
      </c>
      <c r="H3" s="2">
        <f>AVERAGE(B3:B12)</f>
        <v>55.8</v>
      </c>
      <c r="J3" t="s">
        <v>16</v>
      </c>
      <c r="K3" s="1" t="s">
        <v>88</v>
      </c>
      <c r="L3" s="24">
        <f>H5/(H6/SQRT(H7))</f>
        <v>2.0225995873897262</v>
      </c>
      <c r="N3" s="3" t="str">
        <f>IF(ABS(L3)&lt;ABS(L4),"Fail to Reject H0","Reject H0")</f>
        <v>Fail to Reject H0</v>
      </c>
    </row>
    <row r="4" spans="2:14" ht="14.5" customHeight="1" x14ac:dyDescent="0.45">
      <c r="B4" s="3">
        <v>52</v>
      </c>
      <c r="C4" s="3">
        <v>60</v>
      </c>
      <c r="D4" s="3">
        <f t="shared" ref="D4:D12" si="0">C4-B4</f>
        <v>8</v>
      </c>
      <c r="F4" t="s">
        <v>21</v>
      </c>
      <c r="G4" s="8" t="s">
        <v>33</v>
      </c>
      <c r="H4" s="9">
        <f>AVERAGE(C3:C12)</f>
        <v>58.8</v>
      </c>
      <c r="J4" t="s">
        <v>17</v>
      </c>
      <c r="K4" s="1" t="s">
        <v>29</v>
      </c>
      <c r="L4" s="24">
        <f>_xlfn.T.INV(0.025,H7-1)</f>
        <v>-2.2621571627982053</v>
      </c>
    </row>
    <row r="5" spans="2:14" ht="14.5" customHeight="1" x14ac:dyDescent="0.35">
      <c r="B5" s="3">
        <v>90</v>
      </c>
      <c r="C5" s="3">
        <v>84</v>
      </c>
      <c r="D5" s="3">
        <f t="shared" si="0"/>
        <v>-6</v>
      </c>
      <c r="F5" t="s">
        <v>22</v>
      </c>
      <c r="G5" s="8" t="s">
        <v>34</v>
      </c>
      <c r="H5" s="9">
        <f>AVERAGE(D3:D12)</f>
        <v>3</v>
      </c>
      <c r="J5" t="s">
        <v>17</v>
      </c>
      <c r="K5" s="1" t="s">
        <v>30</v>
      </c>
      <c r="L5" s="24">
        <f>_xlfn.T.INV.2T(0.05,H7-1)</f>
        <v>2.2621571627982053</v>
      </c>
    </row>
    <row r="6" spans="2:14" ht="14.5" customHeight="1" x14ac:dyDescent="0.35">
      <c r="B6" s="3">
        <v>20</v>
      </c>
      <c r="C6" s="3">
        <v>23</v>
      </c>
      <c r="D6" s="3">
        <f t="shared" si="0"/>
        <v>3</v>
      </c>
      <c r="F6" s="7" t="s">
        <v>15</v>
      </c>
      <c r="G6" s="8" t="s">
        <v>35</v>
      </c>
      <c r="H6" s="9">
        <f>_xlfn.STDEV.S(D3:D12)</f>
        <v>4.6904157598234297</v>
      </c>
      <c r="J6" t="s">
        <v>18</v>
      </c>
      <c r="K6" s="1" t="s">
        <v>31</v>
      </c>
      <c r="L6" s="24">
        <f>_xlfn.T.INV(0.95,H7-1)</f>
        <v>1.8331129326562368</v>
      </c>
    </row>
    <row r="7" spans="2:14" ht="14.5" customHeight="1" x14ac:dyDescent="0.35">
      <c r="B7" s="3">
        <v>33</v>
      </c>
      <c r="C7" s="3">
        <v>37</v>
      </c>
      <c r="D7" s="3">
        <f t="shared" si="0"/>
        <v>4</v>
      </c>
      <c r="F7" s="7" t="s">
        <v>0</v>
      </c>
      <c r="G7" s="8" t="s">
        <v>36</v>
      </c>
      <c r="H7" s="11">
        <f>COUNT(D3:D12)</f>
        <v>10</v>
      </c>
      <c r="K7" s="1"/>
    </row>
    <row r="8" spans="2:14" ht="14.5" customHeight="1" x14ac:dyDescent="0.35">
      <c r="B8" s="3">
        <v>95</v>
      </c>
      <c r="C8" s="3">
        <v>95</v>
      </c>
      <c r="D8" s="3">
        <f t="shared" si="0"/>
        <v>0</v>
      </c>
    </row>
    <row r="9" spans="2:14" ht="14.5" customHeight="1" x14ac:dyDescent="0.35">
      <c r="B9" s="3">
        <v>18</v>
      </c>
      <c r="C9" s="3">
        <v>17</v>
      </c>
      <c r="D9" s="3">
        <f t="shared" si="0"/>
        <v>-1</v>
      </c>
      <c r="J9" s="5" t="s">
        <v>1</v>
      </c>
      <c r="K9" s="5" t="s">
        <v>3</v>
      </c>
      <c r="L9" s="5" t="s">
        <v>4</v>
      </c>
    </row>
    <row r="10" spans="2:14" ht="14.5" customHeight="1" x14ac:dyDescent="0.35">
      <c r="B10" s="3">
        <v>47</v>
      </c>
      <c r="C10" s="3">
        <v>53</v>
      </c>
      <c r="D10" s="3">
        <f t="shared" si="0"/>
        <v>6</v>
      </c>
      <c r="J10" t="s">
        <v>95</v>
      </c>
      <c r="K10" s="1" t="s">
        <v>93</v>
      </c>
      <c r="L10" s="23">
        <f>_xlfn.T.DIST(2.262,9,TRUE)</f>
        <v>0.97499357724877267</v>
      </c>
    </row>
    <row r="11" spans="2:14" ht="14.5" customHeight="1" x14ac:dyDescent="0.35">
      <c r="B11" s="3">
        <v>78</v>
      </c>
      <c r="C11" s="3">
        <v>88</v>
      </c>
      <c r="D11" s="3">
        <f t="shared" si="0"/>
        <v>10</v>
      </c>
      <c r="J11" t="s">
        <v>91</v>
      </c>
      <c r="K11" s="1" t="s">
        <v>94</v>
      </c>
      <c r="L11" s="23">
        <f>_xlfn.T.DIST(2.023,9,TRUE)</f>
        <v>0.96311810015189847</v>
      </c>
    </row>
    <row r="12" spans="2:14" ht="14.5" customHeight="1" x14ac:dyDescent="0.35">
      <c r="B12" s="3">
        <v>65</v>
      </c>
      <c r="C12" s="3">
        <v>66</v>
      </c>
      <c r="D12" s="3">
        <f t="shared" si="0"/>
        <v>1</v>
      </c>
    </row>
    <row r="16" spans="2:14" ht="14.5" customHeight="1" x14ac:dyDescent="0.35">
      <c r="F16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EDA2-A311-4665-A966-8FD85DF10CAA}">
  <dimension ref="B2:N12"/>
  <sheetViews>
    <sheetView zoomScaleNormal="100" workbookViewId="0">
      <selection activeCell="K20" sqref="K20"/>
    </sheetView>
  </sheetViews>
  <sheetFormatPr defaultRowHeight="14.5" customHeight="1" x14ac:dyDescent="0.35"/>
  <cols>
    <col min="1" max="1" width="3.1796875" customWidth="1"/>
    <col min="2" max="2" width="13.36328125" style="3" bestFit="1" customWidth="1"/>
    <col min="3" max="3" width="12.54296875" style="15" customWidth="1"/>
    <col min="4" max="5" width="12.54296875" style="3" customWidth="1"/>
    <col min="6" max="6" width="9.36328125" bestFit="1" customWidth="1"/>
    <col min="7" max="7" width="14.26953125" customWidth="1"/>
    <col min="8" max="8" width="10.36328125" customWidth="1"/>
    <col min="10" max="10" width="18.54296875" customWidth="1"/>
    <col min="11" max="11" width="22.08984375" bestFit="1" customWidth="1"/>
    <col min="12" max="12" width="8.7265625" style="2"/>
    <col min="14" max="14" width="15" style="3" customWidth="1"/>
  </cols>
  <sheetData>
    <row r="2" spans="2:14" ht="14.5" customHeight="1" x14ac:dyDescent="0.35">
      <c r="B2" s="4" t="s">
        <v>54</v>
      </c>
      <c r="C2" s="13" t="s">
        <v>41</v>
      </c>
      <c r="D2" s="4" t="s">
        <v>43</v>
      </c>
      <c r="E2" s="4" t="s">
        <v>42</v>
      </c>
      <c r="G2" s="5" t="s">
        <v>3</v>
      </c>
      <c r="H2" s="4" t="s">
        <v>45</v>
      </c>
      <c r="J2" s="5" t="s">
        <v>1</v>
      </c>
      <c r="K2" s="5" t="s">
        <v>3</v>
      </c>
      <c r="L2" s="6" t="s">
        <v>2</v>
      </c>
      <c r="N2" s="10" t="s">
        <v>20</v>
      </c>
    </row>
    <row r="3" spans="2:14" ht="14.5" customHeight="1" x14ac:dyDescent="0.35">
      <c r="B3" s="3">
        <v>1</v>
      </c>
      <c r="C3" s="14" t="s">
        <v>53</v>
      </c>
      <c r="D3" s="3">
        <v>20</v>
      </c>
      <c r="E3" s="3">
        <v>25</v>
      </c>
      <c r="G3" s="1" t="s">
        <v>46</v>
      </c>
      <c r="H3" s="2">
        <f>(E3-D3)^2/D3</f>
        <v>1.25</v>
      </c>
      <c r="J3" t="s">
        <v>0</v>
      </c>
      <c r="K3" s="1" t="s">
        <v>96</v>
      </c>
      <c r="L3">
        <f>COUNT(E3:E8)</f>
        <v>6</v>
      </c>
      <c r="N3" s="3" t="str">
        <f>IF(ABS(L4)&lt;ABS(L5),"Fail to Reject H0","Reject H0")</f>
        <v>Fail to Reject H0</v>
      </c>
    </row>
    <row r="4" spans="2:14" ht="14.5" customHeight="1" x14ac:dyDescent="0.35">
      <c r="B4" s="3">
        <v>2</v>
      </c>
      <c r="C4" s="14" t="s">
        <v>53</v>
      </c>
      <c r="D4" s="3">
        <v>20</v>
      </c>
      <c r="E4" s="3">
        <v>17</v>
      </c>
      <c r="G4" s="1" t="s">
        <v>47</v>
      </c>
      <c r="H4" s="2">
        <f t="shared" ref="H4:H8" si="0">(E4-D4)^2/D4</f>
        <v>0.45</v>
      </c>
      <c r="J4" t="s">
        <v>51</v>
      </c>
      <c r="K4" s="1" t="s">
        <v>97</v>
      </c>
      <c r="L4" s="12">
        <f>SUM(H3:H8)</f>
        <v>5</v>
      </c>
    </row>
    <row r="5" spans="2:14" ht="14.5" customHeight="1" x14ac:dyDescent="0.35">
      <c r="B5" s="3">
        <v>3</v>
      </c>
      <c r="C5" s="14" t="s">
        <v>53</v>
      </c>
      <c r="D5" s="3">
        <v>20</v>
      </c>
      <c r="E5" s="3">
        <v>15</v>
      </c>
      <c r="G5" s="1" t="s">
        <v>48</v>
      </c>
      <c r="H5" s="2">
        <f t="shared" si="0"/>
        <v>1.25</v>
      </c>
      <c r="J5" t="s">
        <v>52</v>
      </c>
      <c r="K5" s="1" t="s">
        <v>60</v>
      </c>
      <c r="L5" s="2">
        <f>_xlfn.CHISQ.INV(0.95,L3-1)</f>
        <v>11.070497693516351</v>
      </c>
    </row>
    <row r="6" spans="2:14" ht="14.5" customHeight="1" x14ac:dyDescent="0.35">
      <c r="B6" s="3">
        <v>4</v>
      </c>
      <c r="C6" s="14" t="s">
        <v>53</v>
      </c>
      <c r="D6" s="3">
        <v>20</v>
      </c>
      <c r="E6" s="3">
        <v>23</v>
      </c>
      <c r="G6" s="1" t="s">
        <v>55</v>
      </c>
      <c r="H6" s="2">
        <f t="shared" si="0"/>
        <v>0.45</v>
      </c>
      <c r="J6" t="s">
        <v>52</v>
      </c>
      <c r="K6" s="1" t="s">
        <v>59</v>
      </c>
      <c r="L6" s="2">
        <f>_xlfn.CHISQ.INV.RT(0.05,L3-1)</f>
        <v>11.070497693516353</v>
      </c>
    </row>
    <row r="7" spans="2:14" ht="14.5" customHeight="1" x14ac:dyDescent="0.35">
      <c r="B7" s="3">
        <v>5</v>
      </c>
      <c r="C7" s="14" t="s">
        <v>53</v>
      </c>
      <c r="D7" s="3">
        <v>20</v>
      </c>
      <c r="E7" s="3">
        <v>24</v>
      </c>
      <c r="G7" s="1" t="s">
        <v>56</v>
      </c>
      <c r="H7" s="2">
        <f t="shared" si="0"/>
        <v>0.8</v>
      </c>
      <c r="K7" s="1"/>
    </row>
    <row r="8" spans="2:14" ht="14.5" customHeight="1" x14ac:dyDescent="0.35">
      <c r="B8" s="3">
        <v>6</v>
      </c>
      <c r="C8" s="14" t="s">
        <v>53</v>
      </c>
      <c r="D8" s="3">
        <v>20</v>
      </c>
      <c r="E8" s="3">
        <v>16</v>
      </c>
      <c r="G8" s="1" t="s">
        <v>57</v>
      </c>
      <c r="H8" s="2">
        <f t="shared" si="0"/>
        <v>0.8</v>
      </c>
    </row>
    <row r="10" spans="2:14" ht="14.5" customHeight="1" x14ac:dyDescent="0.35">
      <c r="F10" s="32"/>
    </row>
    <row r="12" spans="2:14" ht="14.5" customHeight="1" x14ac:dyDescent="0.35">
      <c r="G12" t="s">
        <v>58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694D-B4DB-47EB-AC89-6CA9FE16C0F4}">
  <dimension ref="B2:N12"/>
  <sheetViews>
    <sheetView workbookViewId="0">
      <selection activeCell="N3" sqref="N3"/>
    </sheetView>
  </sheetViews>
  <sheetFormatPr defaultRowHeight="14.5" customHeight="1" x14ac:dyDescent="0.35"/>
  <cols>
    <col min="1" max="1" width="3.1796875" customWidth="1"/>
    <col min="2" max="2" width="11.08984375" bestFit="1" customWidth="1"/>
    <col min="3" max="5" width="12.54296875" style="3" customWidth="1"/>
    <col min="7" max="7" width="14.26953125" customWidth="1"/>
    <col min="8" max="8" width="10.36328125" customWidth="1"/>
    <col min="10" max="10" width="18.54296875" customWidth="1"/>
    <col min="11" max="11" width="22.08984375" bestFit="1" customWidth="1"/>
    <col min="12" max="12" width="8.7265625" style="2"/>
    <col min="14" max="14" width="15" style="3" customWidth="1"/>
  </cols>
  <sheetData>
    <row r="2" spans="2:14" ht="14.5" customHeight="1" x14ac:dyDescent="0.35">
      <c r="B2" s="4" t="s">
        <v>40</v>
      </c>
      <c r="C2" s="4" t="s">
        <v>41</v>
      </c>
      <c r="D2" s="4" t="s">
        <v>43</v>
      </c>
      <c r="E2" s="4" t="s">
        <v>42</v>
      </c>
      <c r="G2" s="5" t="s">
        <v>3</v>
      </c>
      <c r="H2" s="4" t="s">
        <v>45</v>
      </c>
      <c r="J2" s="5" t="s">
        <v>1</v>
      </c>
      <c r="K2" s="5" t="s">
        <v>3</v>
      </c>
      <c r="L2" s="6" t="s">
        <v>2</v>
      </c>
      <c r="N2" s="10" t="s">
        <v>20</v>
      </c>
    </row>
    <row r="3" spans="2:14" ht="14.5" customHeight="1" x14ac:dyDescent="0.35">
      <c r="B3" t="s">
        <v>37</v>
      </c>
      <c r="C3" s="3">
        <v>0.36</v>
      </c>
      <c r="D3" s="3">
        <f>400*C3</f>
        <v>144</v>
      </c>
      <c r="E3" s="3">
        <v>140</v>
      </c>
      <c r="G3" s="1" t="s">
        <v>46</v>
      </c>
      <c r="H3" s="2">
        <f>(E3-D3)^2/D3</f>
        <v>0.1111111111111111</v>
      </c>
      <c r="J3" t="s">
        <v>0</v>
      </c>
      <c r="K3" s="1" t="s">
        <v>50</v>
      </c>
      <c r="L3">
        <f>COUNT(E3:E5)</f>
        <v>3</v>
      </c>
      <c r="N3" s="3" t="str">
        <f>IF(ABS(L4)&lt;ABS(L5),"Fail to Reject H0","Reject H0")</f>
        <v>Reject H0</v>
      </c>
    </row>
    <row r="4" spans="2:14" ht="14.5" customHeight="1" x14ac:dyDescent="0.35">
      <c r="B4" t="s">
        <v>38</v>
      </c>
      <c r="C4" s="3">
        <v>0.48</v>
      </c>
      <c r="D4" s="3">
        <f t="shared" ref="D4:D5" si="0">400*C4</f>
        <v>192</v>
      </c>
      <c r="E4" s="3">
        <v>240</v>
      </c>
      <c r="G4" s="1" t="s">
        <v>47</v>
      </c>
      <c r="H4" s="2">
        <f>(E4-D4)^2/D4</f>
        <v>12</v>
      </c>
      <c r="J4" t="s">
        <v>51</v>
      </c>
      <c r="K4" s="1" t="s">
        <v>49</v>
      </c>
      <c r="L4" s="12">
        <f>SUM(H3:H5)</f>
        <v>42.361111111111114</v>
      </c>
    </row>
    <row r="5" spans="2:14" ht="14.5" customHeight="1" x14ac:dyDescent="0.35">
      <c r="B5" t="s">
        <v>39</v>
      </c>
      <c r="C5" s="3">
        <v>0.16</v>
      </c>
      <c r="D5" s="3">
        <f t="shared" si="0"/>
        <v>64</v>
      </c>
      <c r="E5" s="3">
        <v>20</v>
      </c>
      <c r="G5" s="1" t="s">
        <v>48</v>
      </c>
      <c r="H5" s="2">
        <f>(E5-D5)^2/D5</f>
        <v>30.25</v>
      </c>
      <c r="J5" t="s">
        <v>52</v>
      </c>
      <c r="K5" s="1" t="s">
        <v>60</v>
      </c>
      <c r="L5" s="2">
        <f>_xlfn.CHISQ.INV(0.95,L3-1)</f>
        <v>5.9914645471079799</v>
      </c>
    </row>
    <row r="6" spans="2:14" ht="14.5" customHeight="1" x14ac:dyDescent="0.35">
      <c r="J6" t="s">
        <v>52</v>
      </c>
      <c r="K6" s="1" t="s">
        <v>59</v>
      </c>
      <c r="L6" s="2">
        <f>_xlfn.CHISQ.INV.RT(0.05,L3-1)</f>
        <v>5.9914645471079817</v>
      </c>
    </row>
    <row r="7" spans="2:14" ht="14.5" customHeight="1" x14ac:dyDescent="0.35">
      <c r="K7" s="1"/>
    </row>
    <row r="12" spans="2:14" ht="14.5" customHeight="1" x14ac:dyDescent="0.35">
      <c r="G12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EB1A-7CCB-4C3A-872B-0F0C1624E663}">
  <dimension ref="B1:G21"/>
  <sheetViews>
    <sheetView zoomScaleNormal="100" workbookViewId="0">
      <selection activeCell="H21" sqref="H21"/>
    </sheetView>
  </sheetViews>
  <sheetFormatPr defaultRowHeight="14.5" x14ac:dyDescent="0.35"/>
  <cols>
    <col min="1" max="1" width="3.1796875" customWidth="1"/>
    <col min="2" max="2" width="8.7265625" style="30"/>
    <col min="4" max="4" width="23.81640625" customWidth="1"/>
    <col min="5" max="5" width="28.81640625" customWidth="1"/>
    <col min="6" max="6" width="8.7265625" style="2"/>
  </cols>
  <sheetData>
    <row r="1" spans="2:7" x14ac:dyDescent="0.35">
      <c r="B1" s="15"/>
      <c r="F1" s="38"/>
    </row>
    <row r="2" spans="2:7" x14ac:dyDescent="0.35">
      <c r="B2" s="37" t="s">
        <v>122</v>
      </c>
      <c r="D2" s="37" t="s">
        <v>1</v>
      </c>
      <c r="E2" s="36" t="s">
        <v>3</v>
      </c>
      <c r="F2" s="36" t="s">
        <v>4</v>
      </c>
    </row>
    <row r="3" spans="2:7" x14ac:dyDescent="0.35">
      <c r="B3" s="30">
        <v>4.2561785718335914</v>
      </c>
      <c r="D3" t="s">
        <v>121</v>
      </c>
      <c r="E3" s="1" t="s">
        <v>120</v>
      </c>
      <c r="F3" s="28">
        <f>AVERAGE(B3:B14)</f>
        <v>4.7338897530612725</v>
      </c>
      <c r="G3" s="27"/>
    </row>
    <row r="4" spans="2:7" x14ac:dyDescent="0.35">
      <c r="B4" s="30">
        <v>5.5318439737640626</v>
      </c>
      <c r="C4" s="27"/>
      <c r="D4" t="s">
        <v>119</v>
      </c>
      <c r="E4" s="1" t="s">
        <v>118</v>
      </c>
      <c r="F4" s="28">
        <f>_xlfn.STDEV.S(B3:B14)</f>
        <v>0.8260607922904476</v>
      </c>
      <c r="G4" s="27"/>
    </row>
    <row r="5" spans="2:7" x14ac:dyDescent="0.35">
      <c r="B5" s="30">
        <v>4.9245704360548066</v>
      </c>
      <c r="C5" s="27"/>
      <c r="D5" t="s">
        <v>0</v>
      </c>
      <c r="E5" s="1" t="s">
        <v>117</v>
      </c>
      <c r="F5" s="28">
        <f>COUNT(B3:B14)</f>
        <v>12</v>
      </c>
      <c r="G5" s="27"/>
    </row>
    <row r="6" spans="2:7" x14ac:dyDescent="0.35">
      <c r="B6" s="30">
        <v>3.8025399310186532</v>
      </c>
      <c r="C6" s="27"/>
      <c r="G6" s="27"/>
    </row>
    <row r="7" spans="2:7" x14ac:dyDescent="0.35">
      <c r="B7" s="30">
        <v>5.8980648574990706</v>
      </c>
      <c r="C7" s="27"/>
      <c r="D7" s="37" t="s">
        <v>1</v>
      </c>
      <c r="E7" s="36" t="s">
        <v>3</v>
      </c>
      <c r="F7" s="36" t="s">
        <v>4</v>
      </c>
      <c r="G7" s="27"/>
    </row>
    <row r="8" spans="2:7" x14ac:dyDescent="0.35">
      <c r="B8" s="30">
        <v>5.3305612879011477</v>
      </c>
      <c r="C8" s="27"/>
      <c r="D8" t="s">
        <v>116</v>
      </c>
      <c r="E8" s="1" t="s">
        <v>5</v>
      </c>
      <c r="F8" s="28">
        <f>_xlfn.NORM.S.INV(0.975)</f>
        <v>1.9599639845400536</v>
      </c>
    </row>
    <row r="9" spans="2:7" x14ac:dyDescent="0.35">
      <c r="B9" s="30">
        <v>3.0344574587078728</v>
      </c>
      <c r="C9" s="27"/>
      <c r="D9" t="s">
        <v>108</v>
      </c>
      <c r="E9" s="1" t="s">
        <v>115</v>
      </c>
      <c r="F9" s="28">
        <f>F3-F8*(F4/SQRT(F5))</f>
        <v>4.2665104490435075</v>
      </c>
      <c r="G9" s="27"/>
    </row>
    <row r="10" spans="2:7" x14ac:dyDescent="0.35">
      <c r="B10" s="30">
        <v>4.4914387168570178</v>
      </c>
      <c r="C10" s="27"/>
      <c r="D10" t="s">
        <v>106</v>
      </c>
      <c r="E10" s="1" t="s">
        <v>114</v>
      </c>
      <c r="F10" s="28">
        <f>F3+F8*(F4/SQRT(F5))</f>
        <v>5.2012690570790374</v>
      </c>
      <c r="G10" s="27"/>
    </row>
    <row r="11" spans="2:7" x14ac:dyDescent="0.35">
      <c r="B11" s="30">
        <v>5.7391259144221234</v>
      </c>
      <c r="C11" s="27"/>
      <c r="D11" t="s">
        <v>103</v>
      </c>
      <c r="E11" s="1" t="s">
        <v>113</v>
      </c>
      <c r="F11" s="28">
        <f>F3-F9</f>
        <v>0.46737930401776495</v>
      </c>
      <c r="G11" s="27"/>
    </row>
    <row r="12" spans="2:7" x14ac:dyDescent="0.35">
      <c r="B12" s="30">
        <v>4.5121160941781904</v>
      </c>
      <c r="C12" s="27"/>
      <c r="D12" t="s">
        <v>103</v>
      </c>
      <c r="E12" s="1" t="s">
        <v>112</v>
      </c>
      <c r="F12" s="28">
        <f>CONFIDENCE(0.05,F4,F5)</f>
        <v>0.46737930401776501</v>
      </c>
      <c r="G12" s="27"/>
    </row>
    <row r="13" spans="2:7" x14ac:dyDescent="0.35">
      <c r="B13" s="30">
        <v>4.6816956154845997</v>
      </c>
      <c r="C13" s="27"/>
      <c r="D13" t="s">
        <v>101</v>
      </c>
      <c r="E13" s="1" t="s">
        <v>111</v>
      </c>
      <c r="F13" s="28">
        <f>F10-F3</f>
        <v>0.46737930401776495</v>
      </c>
      <c r="G13" s="27"/>
    </row>
    <row r="14" spans="2:7" x14ac:dyDescent="0.35">
      <c r="B14" s="30">
        <v>4.6040841790141336</v>
      </c>
      <c r="C14" s="27"/>
      <c r="G14" s="27"/>
    </row>
    <row r="15" spans="2:7" x14ac:dyDescent="0.35">
      <c r="D15" s="37" t="s">
        <v>1</v>
      </c>
      <c r="E15" s="36" t="s">
        <v>3</v>
      </c>
      <c r="F15" s="36" t="s">
        <v>4</v>
      </c>
    </row>
    <row r="16" spans="2:7" x14ac:dyDescent="0.35">
      <c r="D16" t="s">
        <v>110</v>
      </c>
      <c r="E16" s="1" t="s">
        <v>109</v>
      </c>
      <c r="F16" s="28" cm="1">
        <f t="array" ref="F16">_xlfn.T.INV(0.975,COUNT(B3:B14-1))</f>
        <v>2.178812829667228</v>
      </c>
    </row>
    <row r="17" spans="4:6" x14ac:dyDescent="0.35">
      <c r="D17" t="s">
        <v>108</v>
      </c>
      <c r="E17" s="1" t="s">
        <v>107</v>
      </c>
      <c r="F17" s="28">
        <f>F3-F16*(F4/SQRT(F5))</f>
        <v>4.2143230508425997</v>
      </c>
    </row>
    <row r="18" spans="4:6" x14ac:dyDescent="0.35">
      <c r="D18" t="s">
        <v>106</v>
      </c>
      <c r="E18" s="1" t="s">
        <v>105</v>
      </c>
      <c r="F18" s="28">
        <f>F3+F16*(F4/SQRT(F5))</f>
        <v>5.2534564552799452</v>
      </c>
    </row>
    <row r="19" spans="4:6" x14ac:dyDescent="0.35">
      <c r="D19" t="s">
        <v>103</v>
      </c>
      <c r="E19" s="1" t="s">
        <v>104</v>
      </c>
      <c r="F19" s="28">
        <f>F3-F17</f>
        <v>0.51956670221867274</v>
      </c>
    </row>
    <row r="20" spans="4:6" x14ac:dyDescent="0.35">
      <c r="D20" t="s">
        <v>103</v>
      </c>
      <c r="E20" s="1" t="s">
        <v>102</v>
      </c>
      <c r="F20" s="28">
        <f>_xlfn.CONFIDENCE.T(0.05,F4,F5)</f>
        <v>0.52485398731368205</v>
      </c>
    </row>
    <row r="21" spans="4:6" x14ac:dyDescent="0.35">
      <c r="D21" t="s">
        <v>101</v>
      </c>
      <c r="E21" s="1" t="s">
        <v>100</v>
      </c>
      <c r="F21" s="28">
        <f>F18-F3</f>
        <v>0.51956670221867274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4835-3045-4E6B-8124-4D12F1AA6212}">
  <dimension ref="B2:G14"/>
  <sheetViews>
    <sheetView zoomScaleNormal="100" workbookViewId="0">
      <selection activeCell="H21" sqref="H21"/>
    </sheetView>
  </sheetViews>
  <sheetFormatPr defaultRowHeight="14.5" x14ac:dyDescent="0.35"/>
  <cols>
    <col min="1" max="1" width="3.1796875" customWidth="1"/>
    <col min="2" max="2" width="9.7265625" style="15" customWidth="1"/>
    <col min="3" max="4" width="9.7265625" style="3" customWidth="1"/>
    <col min="5" max="5" width="9.7265625" style="30" customWidth="1"/>
    <col min="6" max="7" width="9.7265625" style="3" customWidth="1"/>
  </cols>
  <sheetData>
    <row r="2" spans="2:7" x14ac:dyDescent="0.35">
      <c r="B2" s="37" t="s">
        <v>122</v>
      </c>
      <c r="C2" s="37" t="s">
        <v>0</v>
      </c>
      <c r="D2" s="37" t="s">
        <v>119</v>
      </c>
      <c r="E2" s="40" t="s">
        <v>125</v>
      </c>
      <c r="F2" s="37" t="s">
        <v>124</v>
      </c>
      <c r="G2" s="37" t="s">
        <v>123</v>
      </c>
    </row>
    <row r="3" spans="2:7" x14ac:dyDescent="0.35">
      <c r="B3" s="15">
        <v>42</v>
      </c>
      <c r="C3" s="3">
        <v>4</v>
      </c>
      <c r="D3" s="3">
        <v>5.28</v>
      </c>
      <c r="E3" s="30">
        <f>_xlfn.CONFIDENCE.T(0.025,D3,C3)</f>
        <v>11.026051993715875</v>
      </c>
      <c r="F3" s="39">
        <f>B3-E3</f>
        <v>30.973948006284125</v>
      </c>
      <c r="G3" s="39">
        <f>B3+E3</f>
        <v>53.026051993715875</v>
      </c>
    </row>
    <row r="4" spans="2:7" x14ac:dyDescent="0.35">
      <c r="B4" s="15">
        <v>62</v>
      </c>
      <c r="C4" s="3">
        <v>6</v>
      </c>
      <c r="D4" s="3">
        <v>8.07</v>
      </c>
      <c r="E4" s="30">
        <f>_xlfn.CONFIDENCE.T(0.025,D4,C4)</f>
        <v>10.421961706385867</v>
      </c>
      <c r="F4" s="39">
        <f>B4-E4</f>
        <v>51.578038293614135</v>
      </c>
      <c r="G4" s="39">
        <f>B4+E4</f>
        <v>72.421961706385872</v>
      </c>
    </row>
    <row r="5" spans="2:7" x14ac:dyDescent="0.35">
      <c r="B5" s="15">
        <v>68</v>
      </c>
      <c r="C5" s="3">
        <v>2</v>
      </c>
      <c r="D5" s="3">
        <v>4.08</v>
      </c>
      <c r="E5" s="30">
        <f>_xlfn.CONFIDENCE.T(0.025,D5,C5)</f>
        <v>73.428043010367659</v>
      </c>
      <c r="F5" s="39">
        <f>B5-E5</f>
        <v>-5.4280430103676593</v>
      </c>
      <c r="G5" s="39">
        <f>B5+E5</f>
        <v>141.42804301036767</v>
      </c>
    </row>
    <row r="6" spans="2:7" x14ac:dyDescent="0.35">
      <c r="B6" s="15">
        <v>78</v>
      </c>
      <c r="C6" s="3">
        <v>5</v>
      </c>
      <c r="D6" s="3">
        <v>8.73</v>
      </c>
      <c r="E6" s="30">
        <f>_xlfn.CONFIDENCE.T(0.025,D6,C6)</f>
        <v>13.646675368513643</v>
      </c>
      <c r="F6" s="39">
        <f>B6-E6</f>
        <v>64.353324631486359</v>
      </c>
      <c r="G6" s="39">
        <f>B6+E6</f>
        <v>91.646675368513641</v>
      </c>
    </row>
    <row r="7" spans="2:7" x14ac:dyDescent="0.35">
      <c r="B7" s="15">
        <v>35</v>
      </c>
      <c r="C7" s="3">
        <v>3</v>
      </c>
      <c r="D7" s="3">
        <v>8.1000000000000014</v>
      </c>
      <c r="E7" s="30">
        <f>_xlfn.CONFIDENCE.T(0.025,D7,C7)</f>
        <v>29.019535105192837</v>
      </c>
      <c r="F7" s="39">
        <f>B7-E7</f>
        <v>5.980464894807163</v>
      </c>
      <c r="G7" s="39">
        <f>B7+E7</f>
        <v>64.01953510519283</v>
      </c>
    </row>
    <row r="8" spans="2:7" x14ac:dyDescent="0.35">
      <c r="B8" s="15">
        <v>50</v>
      </c>
      <c r="C8" s="3">
        <v>3</v>
      </c>
      <c r="D8" s="3">
        <v>1.6800000000000002</v>
      </c>
      <c r="E8" s="30">
        <f>_xlfn.CONFIDENCE.T(0.025,D8,C8)</f>
        <v>6.0188665403362913</v>
      </c>
      <c r="F8" s="39">
        <f>B8-E8</f>
        <v>43.98113345966371</v>
      </c>
      <c r="G8" s="39">
        <f>B8+E8</f>
        <v>56.01886654033629</v>
      </c>
    </row>
    <row r="9" spans="2:7" x14ac:dyDescent="0.35">
      <c r="B9" s="15">
        <v>90</v>
      </c>
      <c r="C9" s="3">
        <v>2</v>
      </c>
      <c r="D9" s="3">
        <v>4.62</v>
      </c>
      <c r="E9" s="30">
        <f>_xlfn.CONFIDENCE.T(0.025,D9,C9)</f>
        <v>83.146460467622191</v>
      </c>
      <c r="F9" s="39">
        <f>B9-E9</f>
        <v>6.853539532377809</v>
      </c>
      <c r="G9" s="39">
        <f>B9+E9</f>
        <v>173.14646046762221</v>
      </c>
    </row>
    <row r="10" spans="2:7" x14ac:dyDescent="0.35">
      <c r="B10" s="15">
        <v>79</v>
      </c>
      <c r="C10" s="3">
        <v>2</v>
      </c>
      <c r="D10" s="3">
        <v>5.49</v>
      </c>
      <c r="E10" s="30">
        <f>_xlfn.CONFIDENCE.T(0.025,D10,C10)</f>
        <v>98.80391081542119</v>
      </c>
      <c r="F10" s="39">
        <f>B10-E10</f>
        <v>-19.80391081542119</v>
      </c>
      <c r="G10" s="39">
        <f>B10+E10</f>
        <v>177.8039108154212</v>
      </c>
    </row>
    <row r="11" spans="2:7" x14ac:dyDescent="0.35">
      <c r="B11" s="15">
        <v>41</v>
      </c>
      <c r="C11" s="3">
        <v>6</v>
      </c>
      <c r="D11" s="3">
        <v>8.3999999999999986</v>
      </c>
      <c r="E11" s="30">
        <f>_xlfn.CONFIDENCE.T(0.025,D11,C11)</f>
        <v>10.848138579137704</v>
      </c>
      <c r="F11" s="39">
        <f>B11-E11</f>
        <v>30.151861420862296</v>
      </c>
      <c r="G11" s="39">
        <f>B11+E11</f>
        <v>51.848138579137704</v>
      </c>
    </row>
    <row r="12" spans="2:7" x14ac:dyDescent="0.35">
      <c r="B12" s="15">
        <v>18</v>
      </c>
      <c r="C12" s="3">
        <v>3</v>
      </c>
      <c r="D12" s="3">
        <v>11.94</v>
      </c>
      <c r="E12" s="30">
        <f>_xlfn.CONFIDENCE.T(0.025,D12,C12)</f>
        <v>42.776944340247205</v>
      </c>
      <c r="F12" s="39">
        <f>B12-E12</f>
        <v>-24.776944340247205</v>
      </c>
      <c r="G12" s="39">
        <f>B12+E12</f>
        <v>60.776944340247205</v>
      </c>
    </row>
    <row r="13" spans="2:7" x14ac:dyDescent="0.35">
      <c r="B13" s="15">
        <v>56</v>
      </c>
      <c r="C13" s="3">
        <v>3</v>
      </c>
      <c r="D13" s="3">
        <v>7.1999999999999993</v>
      </c>
      <c r="E13" s="30">
        <f>_xlfn.CONFIDENCE.T(0.025,D13,C13)</f>
        <v>25.795142315726956</v>
      </c>
      <c r="F13" s="39">
        <f>B13-E13</f>
        <v>30.204857684273044</v>
      </c>
      <c r="G13" s="39">
        <f>B13+E13</f>
        <v>81.795142315726963</v>
      </c>
    </row>
    <row r="14" spans="2:7" x14ac:dyDescent="0.35">
      <c r="B14" s="15">
        <v>60</v>
      </c>
      <c r="C14" s="3">
        <v>5</v>
      </c>
      <c r="D14" s="3">
        <v>4.41</v>
      </c>
      <c r="E14" s="30">
        <f>_xlfn.CONFIDENCE.T(0.025,D14,C14)</f>
        <v>6.8936813717233871</v>
      </c>
      <c r="F14" s="39">
        <f>B14-E14</f>
        <v>53.106318628276611</v>
      </c>
      <c r="G14" s="39">
        <f>B14+E14</f>
        <v>66.893681371723389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z-test one-sample</vt:lpstr>
      <vt:lpstr>norm.dist</vt:lpstr>
      <vt:lpstr>t-test one-sample</vt:lpstr>
      <vt:lpstr>t.dist</vt:lpstr>
      <vt:lpstr>t.dist chart</vt:lpstr>
      <vt:lpstr>t-test paired</vt:lpstr>
      <vt:lpstr>t-test independent</vt:lpstr>
      <vt:lpstr>chi-square test</vt:lpstr>
      <vt:lpstr>chi-square test (2)</vt:lpstr>
      <vt:lpstr>conf int 1</vt:lpstr>
      <vt:lpstr>conf int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Patrick</dc:creator>
  <cp:lastModifiedBy>White, Patrick</cp:lastModifiedBy>
  <dcterms:created xsi:type="dcterms:W3CDTF">2024-04-17T18:46:49Z</dcterms:created>
  <dcterms:modified xsi:type="dcterms:W3CDTF">2024-04-23T21:16:09Z</dcterms:modified>
</cp:coreProperties>
</file>
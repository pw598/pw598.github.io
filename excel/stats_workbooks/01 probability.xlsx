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Ex1.xml" ContentType="application/vnd.ms-office.chartex+xml"/>
  <Override PartName="/xl/charts/style10.xml" ContentType="application/vnd.ms-office.chartstyle+xml"/>
  <Override PartName="/xl/charts/colors10.xml" ContentType="application/vnd.ms-office.chartcolorstyle+xml"/>
  <Override PartName="/xl/drawings/drawing7.xml" ContentType="application/vnd.openxmlformats-officedocument.drawing+xml"/>
  <Override PartName="/xl/charts/chart10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Ex2.xml" ContentType="application/vnd.ms-office.chartex+xml"/>
  <Override PartName="/xl/charts/style12.xml" ContentType="application/vnd.ms-office.chartstyle+xml"/>
  <Override PartName="/xl/charts/colors12.xml" ContentType="application/vnd.ms-office.chartcolorstyle+xml"/>
  <Override PartName="/xl/drawings/drawing8.xml" ContentType="application/vnd.openxmlformats-officedocument.drawing+xml"/>
  <Override PartName="/xl/charts/chart11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Ex3.xml" ContentType="application/vnd.ms-office.chartex+xml"/>
  <Override PartName="/xl/charts/style14.xml" ContentType="application/vnd.ms-office.chartstyle+xml"/>
  <Override PartName="/xl/charts/colors14.xml" ContentType="application/vnd.ms-office.chartcolorstyle+xml"/>
  <Override PartName="/xl/drawings/drawing9.xml" ContentType="application/vnd.openxmlformats-officedocument.drawing+xml"/>
  <Override PartName="/xl/charts/chart12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Ex4.xml" ContentType="application/vnd.ms-office.chartex+xml"/>
  <Override PartName="/xl/charts/style16.xml" ContentType="application/vnd.ms-office.chartstyle+xml"/>
  <Override PartName="/xl/charts/colors16.xml" ContentType="application/vnd.ms-office.chartcolorstyle+xml"/>
  <Override PartName="/xl/drawings/drawing10.xml" ContentType="application/vnd.openxmlformats-officedocument.drawing+xml"/>
  <Override PartName="/xl/charts/chart13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11.xml" ContentType="application/vnd.openxmlformats-officedocument.drawing+xml"/>
  <Override PartName="/xl/charts/chart14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white\Desktop\Excel\02 Essential Statistics in Excel\workbooks\"/>
    </mc:Choice>
  </mc:AlternateContent>
  <xr:revisionPtr revIDLastSave="0" documentId="13_ncr:1_{5556CC57-A3E2-43C6-AE9A-21238CD47FFA}" xr6:coauthVersionLast="47" xr6:coauthVersionMax="47" xr10:uidLastSave="{00000000-0000-0000-0000-000000000000}"/>
  <bookViews>
    <workbookView xWindow="-110" yWindow="-110" windowWidth="19420" windowHeight="10420" tabRatio="918" xr2:uid="{66CEA31D-279C-435B-9A6F-CAE7055282AB}"/>
  </bookViews>
  <sheets>
    <sheet name="expected value" sheetId="13" r:id="rId1"/>
    <sheet name="Bern(p)" sheetId="1" r:id="rId2"/>
    <sheet name="Bin(n,p)" sheetId="2" r:id="rId3"/>
    <sheet name="Pois(lambda)" sheetId="4" r:id="rId4"/>
    <sheet name="Expo(lambda)" sheetId="14" r:id="rId5"/>
    <sheet name="Normal(mu, sigma)" sheetId="5" r:id="rId6"/>
    <sheet name="t(df)" sheetId="8" r:id="rId7"/>
    <sheet name="ChiSquare(df)" sheetId="6" r:id="rId8"/>
    <sheet name="F(df1, df2)" sheetId="9" r:id="rId9"/>
    <sheet name="Trunc Normal (mu, sigma)" sheetId="11" r:id="rId10"/>
    <sheet name="Trunc t(df)" sheetId="12" r:id="rId11"/>
  </sheets>
  <definedNames>
    <definedName name="_xlchart.v1.0" hidden="1">'Normal(mu, sigma)'!$S$3:$S$502</definedName>
    <definedName name="_xlchart.v1.1" hidden="1">'t(df)'!$S$3:$S$502</definedName>
    <definedName name="_xlchart.v1.2" hidden="1">'ChiSquare(df)'!$S$3:$S$502</definedName>
    <definedName name="_xlchart.v1.3" hidden="1">'F(df1, df2)'!$S$3:$S$502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4" l="1"/>
  <c r="F5" i="14"/>
  <c r="F6" i="14"/>
  <c r="F7" i="14"/>
  <c r="F8" i="14"/>
  <c r="F9" i="14"/>
  <c r="F10" i="14"/>
  <c r="F11" i="14"/>
  <c r="F12" i="14"/>
  <c r="F13" i="14"/>
  <c r="F14" i="14"/>
  <c r="F15" i="14"/>
  <c r="F16" i="14"/>
  <c r="F17" i="14"/>
  <c r="F18" i="14"/>
  <c r="F19" i="14"/>
  <c r="F20" i="14"/>
  <c r="F21" i="14"/>
  <c r="F22" i="14"/>
  <c r="F23" i="14"/>
  <c r="F24" i="14"/>
  <c r="F25" i="14"/>
  <c r="F26" i="14"/>
  <c r="F27" i="14"/>
  <c r="F28" i="14"/>
  <c r="F29" i="14"/>
  <c r="F30" i="14"/>
  <c r="F31" i="14"/>
  <c r="F32" i="14"/>
  <c r="F33" i="14"/>
  <c r="F34" i="14"/>
  <c r="F35" i="14"/>
  <c r="F36" i="14"/>
  <c r="F37" i="14"/>
  <c r="F38" i="14"/>
  <c r="F39" i="14"/>
  <c r="F40" i="14"/>
  <c r="F41" i="14"/>
  <c r="F42" i="14"/>
  <c r="F43" i="14"/>
  <c r="F44" i="14"/>
  <c r="F45" i="14"/>
  <c r="F46" i="14"/>
  <c r="F47" i="14"/>
  <c r="F48" i="14"/>
  <c r="F49" i="14"/>
  <c r="F50" i="14"/>
  <c r="F51" i="14"/>
  <c r="F52" i="14"/>
  <c r="F53" i="14"/>
  <c r="F54" i="14"/>
  <c r="F55" i="14"/>
  <c r="F56" i="14"/>
  <c r="F57" i="14"/>
  <c r="F58" i="14"/>
  <c r="F59" i="14"/>
  <c r="F60" i="14"/>
  <c r="F61" i="14"/>
  <c r="F62" i="14"/>
  <c r="F63" i="14"/>
  <c r="F64" i="14"/>
  <c r="F65" i="14"/>
  <c r="F66" i="14"/>
  <c r="F67" i="14"/>
  <c r="F68" i="14"/>
  <c r="F69" i="14"/>
  <c r="F70" i="14"/>
  <c r="F71" i="14"/>
  <c r="F72" i="14"/>
  <c r="F73" i="14"/>
  <c r="F74" i="14"/>
  <c r="F75" i="14"/>
  <c r="F76" i="14"/>
  <c r="F77" i="14"/>
  <c r="F78" i="14"/>
  <c r="F79" i="14"/>
  <c r="F80" i="14"/>
  <c r="F81" i="14"/>
  <c r="F82" i="14"/>
  <c r="F83" i="14"/>
  <c r="F84" i="14"/>
  <c r="F85" i="14"/>
  <c r="F86" i="14"/>
  <c r="F87" i="14"/>
  <c r="F88" i="14"/>
  <c r="F89" i="14"/>
  <c r="F90" i="14"/>
  <c r="F91" i="14"/>
  <c r="F92" i="14"/>
  <c r="F93" i="14"/>
  <c r="F94" i="14"/>
  <c r="F95" i="14"/>
  <c r="F96" i="14"/>
  <c r="F97" i="14"/>
  <c r="F98" i="14"/>
  <c r="F99" i="14"/>
  <c r="F100" i="14"/>
  <c r="F101" i="14"/>
  <c r="F102" i="14"/>
  <c r="F4" i="14"/>
  <c r="F3" i="14"/>
  <c r="E90" i="13"/>
  <c r="D90" i="13"/>
  <c r="C90" i="13"/>
  <c r="E89" i="13"/>
  <c r="D89" i="13"/>
  <c r="C89" i="13"/>
  <c r="E88" i="13"/>
  <c r="D88" i="13"/>
  <c r="C88" i="13"/>
  <c r="E87" i="13"/>
  <c r="D87" i="13"/>
  <c r="C87" i="13"/>
  <c r="E86" i="13"/>
  <c r="D86" i="13"/>
  <c r="C86" i="13"/>
  <c r="E85" i="13"/>
  <c r="D85" i="13"/>
  <c r="C85" i="13"/>
  <c r="E84" i="13"/>
  <c r="D84" i="13"/>
  <c r="C84" i="13"/>
  <c r="E83" i="13"/>
  <c r="D83" i="13"/>
  <c r="C83" i="13"/>
  <c r="E82" i="13"/>
  <c r="D82" i="13"/>
  <c r="C82" i="13"/>
  <c r="E81" i="13"/>
  <c r="D81" i="13"/>
  <c r="C81" i="13"/>
  <c r="E80" i="13"/>
  <c r="D80" i="13"/>
  <c r="C80" i="13"/>
  <c r="E79" i="13"/>
  <c r="D79" i="13"/>
  <c r="C79" i="13"/>
  <c r="E78" i="13"/>
  <c r="D78" i="13"/>
  <c r="C78" i="13"/>
  <c r="E77" i="13"/>
  <c r="D77" i="13"/>
  <c r="C77" i="13"/>
  <c r="E76" i="13"/>
  <c r="D76" i="13"/>
  <c r="C76" i="13"/>
  <c r="E75" i="13"/>
  <c r="D75" i="13"/>
  <c r="C75" i="13"/>
  <c r="E74" i="13"/>
  <c r="D74" i="13"/>
  <c r="C74" i="13"/>
  <c r="E73" i="13"/>
  <c r="D73" i="13"/>
  <c r="C73" i="13"/>
  <c r="E72" i="13"/>
  <c r="D72" i="13"/>
  <c r="C72" i="13"/>
  <c r="E71" i="13"/>
  <c r="D71" i="13"/>
  <c r="C71" i="13"/>
  <c r="E70" i="13"/>
  <c r="D70" i="13"/>
  <c r="C70" i="13"/>
  <c r="E69" i="13"/>
  <c r="D69" i="13"/>
  <c r="C69" i="13"/>
  <c r="E68" i="13"/>
  <c r="D68" i="13"/>
  <c r="C68" i="13"/>
  <c r="E67" i="13"/>
  <c r="D67" i="13"/>
  <c r="C67" i="13"/>
  <c r="E66" i="13"/>
  <c r="D66" i="13"/>
  <c r="C66" i="13"/>
  <c r="E65" i="13"/>
  <c r="D65" i="13"/>
  <c r="C65" i="13"/>
  <c r="E64" i="13"/>
  <c r="D64" i="13"/>
  <c r="C64" i="13"/>
  <c r="E63" i="13"/>
  <c r="D63" i="13"/>
  <c r="C63" i="13"/>
  <c r="E62" i="13"/>
  <c r="D62" i="13"/>
  <c r="C62" i="13"/>
  <c r="E61" i="13"/>
  <c r="D61" i="13"/>
  <c r="C61" i="13"/>
  <c r="E60" i="13"/>
  <c r="D60" i="13"/>
  <c r="C60" i="13"/>
  <c r="E59" i="13"/>
  <c r="D59" i="13"/>
  <c r="C59" i="13"/>
  <c r="E58" i="13"/>
  <c r="D58" i="13"/>
  <c r="C58" i="13"/>
  <c r="E57" i="13"/>
  <c r="D57" i="13"/>
  <c r="C57" i="13"/>
  <c r="E56" i="13"/>
  <c r="D56" i="13"/>
  <c r="C56" i="13"/>
  <c r="E55" i="13"/>
  <c r="D55" i="13"/>
  <c r="C55" i="13"/>
  <c r="E54" i="13"/>
  <c r="D54" i="13"/>
  <c r="C54" i="13"/>
  <c r="E53" i="13"/>
  <c r="D53" i="13"/>
  <c r="C53" i="13"/>
  <c r="E52" i="13"/>
  <c r="D52" i="13"/>
  <c r="C52" i="13"/>
  <c r="E51" i="13"/>
  <c r="D51" i="13"/>
  <c r="C51" i="13"/>
  <c r="E50" i="13"/>
  <c r="D50" i="13"/>
  <c r="C50" i="13"/>
  <c r="E49" i="13"/>
  <c r="D49" i="13"/>
  <c r="C49" i="13"/>
  <c r="E48" i="13"/>
  <c r="D48" i="13"/>
  <c r="C48" i="13"/>
  <c r="E47" i="13"/>
  <c r="D47" i="13"/>
  <c r="C47" i="13"/>
  <c r="E46" i="13"/>
  <c r="D46" i="13"/>
  <c r="C46" i="13"/>
  <c r="E45" i="13"/>
  <c r="D45" i="13"/>
  <c r="C45" i="13"/>
  <c r="E44" i="13"/>
  <c r="D44" i="13"/>
  <c r="C44" i="13"/>
  <c r="E43" i="13"/>
  <c r="D43" i="13"/>
  <c r="C43" i="13"/>
  <c r="E42" i="13"/>
  <c r="D42" i="13"/>
  <c r="C42" i="13"/>
  <c r="E41" i="13"/>
  <c r="D41" i="13"/>
  <c r="C41" i="13"/>
  <c r="E40" i="13"/>
  <c r="D40" i="13"/>
  <c r="C40" i="13"/>
  <c r="E39" i="13"/>
  <c r="D39" i="13"/>
  <c r="C39" i="13"/>
  <c r="E38" i="13"/>
  <c r="D38" i="13"/>
  <c r="C38" i="13"/>
  <c r="E37" i="13"/>
  <c r="D37" i="13"/>
  <c r="C37" i="13"/>
  <c r="E36" i="13"/>
  <c r="D36" i="13"/>
  <c r="C36" i="13"/>
  <c r="E35" i="13"/>
  <c r="D35" i="13"/>
  <c r="C35" i="13"/>
  <c r="E34" i="13"/>
  <c r="D34" i="13"/>
  <c r="C34" i="13"/>
  <c r="E33" i="13"/>
  <c r="D33" i="13"/>
  <c r="C33" i="13"/>
  <c r="E32" i="13"/>
  <c r="D32" i="13"/>
  <c r="I3" i="13" s="1"/>
  <c r="C32" i="13"/>
  <c r="E31" i="13"/>
  <c r="D31" i="13"/>
  <c r="C31" i="13"/>
  <c r="E30" i="13"/>
  <c r="D30" i="13"/>
  <c r="C30" i="13"/>
  <c r="E29" i="13"/>
  <c r="D29" i="13"/>
  <c r="C29" i="13"/>
  <c r="E28" i="13"/>
  <c r="D28" i="13"/>
  <c r="C28" i="13"/>
  <c r="E27" i="13"/>
  <c r="D27" i="13"/>
  <c r="C27" i="13"/>
  <c r="E26" i="13"/>
  <c r="D26" i="13"/>
  <c r="C26" i="13"/>
  <c r="E25" i="13"/>
  <c r="D25" i="13"/>
  <c r="C25" i="13"/>
  <c r="E24" i="13"/>
  <c r="D24" i="13"/>
  <c r="C24" i="13"/>
  <c r="E23" i="13"/>
  <c r="D23" i="13"/>
  <c r="C23" i="13"/>
  <c r="E22" i="13"/>
  <c r="D22" i="13"/>
  <c r="C22" i="13"/>
  <c r="E21" i="13"/>
  <c r="J3" i="13" s="1"/>
  <c r="D21" i="13"/>
  <c r="C21" i="13"/>
  <c r="E20" i="13"/>
  <c r="D20" i="13"/>
  <c r="C20" i="13"/>
  <c r="E19" i="13"/>
  <c r="D19" i="13"/>
  <c r="C19" i="13"/>
  <c r="E18" i="13"/>
  <c r="D18" i="13"/>
  <c r="C18" i="13"/>
  <c r="E17" i="13"/>
  <c r="D17" i="13"/>
  <c r="C17" i="13"/>
  <c r="E16" i="13"/>
  <c r="D16" i="13"/>
  <c r="C16" i="13"/>
  <c r="G15" i="13"/>
  <c r="E15" i="13"/>
  <c r="D15" i="13"/>
  <c r="C15" i="13"/>
  <c r="G14" i="13"/>
  <c r="E14" i="13"/>
  <c r="D14" i="13"/>
  <c r="C14" i="13"/>
  <c r="G13" i="13"/>
  <c r="E13" i="13"/>
  <c r="D13" i="13"/>
  <c r="C13" i="13"/>
  <c r="E12" i="13"/>
  <c r="D12" i="13"/>
  <c r="C12" i="13"/>
  <c r="H3" i="13" s="1"/>
  <c r="E11" i="13"/>
  <c r="D11" i="13"/>
  <c r="C11" i="13"/>
  <c r="E10" i="13"/>
  <c r="D10" i="13"/>
  <c r="C10" i="13"/>
  <c r="G4" i="12"/>
  <c r="G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G32" i="12"/>
  <c r="G33" i="12"/>
  <c r="G34" i="12"/>
  <c r="G35" i="12"/>
  <c r="G36" i="12"/>
  <c r="G37" i="12"/>
  <c r="G38" i="12"/>
  <c r="G39" i="12"/>
  <c r="G40" i="12"/>
  <c r="G41" i="12"/>
  <c r="G42" i="12"/>
  <c r="G43" i="12"/>
  <c r="G44" i="12"/>
  <c r="G45" i="12"/>
  <c r="G46" i="12"/>
  <c r="G47" i="12"/>
  <c r="G48" i="12"/>
  <c r="G49" i="12"/>
  <c r="G50" i="12"/>
  <c r="G51" i="12"/>
  <c r="G52" i="12"/>
  <c r="G53" i="12"/>
  <c r="G54" i="12"/>
  <c r="G55" i="12"/>
  <c r="G56" i="12"/>
  <c r="G57" i="12"/>
  <c r="G58" i="12"/>
  <c r="G59" i="12"/>
  <c r="G60" i="12"/>
  <c r="G61" i="12"/>
  <c r="G62" i="12"/>
  <c r="G63" i="12"/>
  <c r="G64" i="12"/>
  <c r="G65" i="12"/>
  <c r="G66" i="12"/>
  <c r="G67" i="12"/>
  <c r="G68" i="12"/>
  <c r="G69" i="12"/>
  <c r="G70" i="12"/>
  <c r="G71" i="12"/>
  <c r="G72" i="12"/>
  <c r="G73" i="12"/>
  <c r="G74" i="12"/>
  <c r="G75" i="12"/>
  <c r="G76" i="12"/>
  <c r="G77" i="12"/>
  <c r="G78" i="12"/>
  <c r="G79" i="12"/>
  <c r="G80" i="12"/>
  <c r="G81" i="12"/>
  <c r="G82" i="12"/>
  <c r="G83" i="12"/>
  <c r="G84" i="12"/>
  <c r="G85" i="12"/>
  <c r="G86" i="12"/>
  <c r="G87" i="12"/>
  <c r="G88" i="12"/>
  <c r="G89" i="12"/>
  <c r="G90" i="12"/>
  <c r="G91" i="12"/>
  <c r="G92" i="12"/>
  <c r="G93" i="12"/>
  <c r="G94" i="12"/>
  <c r="G95" i="12"/>
  <c r="G96" i="12"/>
  <c r="G97" i="12"/>
  <c r="G98" i="12"/>
  <c r="G99" i="12"/>
  <c r="G100" i="12"/>
  <c r="G101" i="12"/>
  <c r="G102" i="12"/>
  <c r="G3" i="12"/>
  <c r="G4" i="11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G33" i="11"/>
  <c r="G34" i="11"/>
  <c r="G35" i="11"/>
  <c r="G36" i="11"/>
  <c r="G37" i="11"/>
  <c r="G38" i="11"/>
  <c r="G39" i="11"/>
  <c r="G40" i="11"/>
  <c r="G41" i="11"/>
  <c r="G42" i="11"/>
  <c r="G43" i="11"/>
  <c r="G44" i="11"/>
  <c r="G45" i="11"/>
  <c r="G46" i="11"/>
  <c r="G47" i="11"/>
  <c r="G48" i="11"/>
  <c r="G49" i="11"/>
  <c r="G50" i="11"/>
  <c r="G51" i="11"/>
  <c r="G52" i="11"/>
  <c r="G3" i="11"/>
  <c r="F3" i="11"/>
  <c r="F102" i="12"/>
  <c r="F101" i="12"/>
  <c r="F100" i="12"/>
  <c r="F99" i="12"/>
  <c r="F98" i="12"/>
  <c r="F97" i="12"/>
  <c r="F96" i="12"/>
  <c r="F95" i="12"/>
  <c r="F94" i="12"/>
  <c r="F93" i="12"/>
  <c r="F92" i="12"/>
  <c r="F91" i="12"/>
  <c r="F90" i="12"/>
  <c r="F89" i="12"/>
  <c r="F88" i="12"/>
  <c r="F87" i="12"/>
  <c r="F86" i="12"/>
  <c r="F85" i="12"/>
  <c r="F84" i="12"/>
  <c r="F83" i="12"/>
  <c r="F82" i="12"/>
  <c r="F81" i="12"/>
  <c r="F80" i="12"/>
  <c r="F79" i="12"/>
  <c r="F78" i="12"/>
  <c r="F77" i="12"/>
  <c r="F76" i="12"/>
  <c r="F75" i="12"/>
  <c r="F74" i="12"/>
  <c r="F73" i="12"/>
  <c r="F72" i="12"/>
  <c r="F71" i="12"/>
  <c r="F70" i="12"/>
  <c r="F69" i="12"/>
  <c r="F68" i="12"/>
  <c r="F67" i="12"/>
  <c r="F66" i="12"/>
  <c r="F65" i="12"/>
  <c r="F64" i="12"/>
  <c r="F63" i="12"/>
  <c r="F62" i="12"/>
  <c r="F61" i="12"/>
  <c r="F60" i="12"/>
  <c r="F59" i="12"/>
  <c r="F58" i="12"/>
  <c r="F57" i="12"/>
  <c r="F56" i="12"/>
  <c r="F55" i="12"/>
  <c r="F54" i="12"/>
  <c r="F53" i="12"/>
  <c r="F52" i="12"/>
  <c r="F51" i="12"/>
  <c r="F50" i="12"/>
  <c r="F49" i="12"/>
  <c r="F48" i="12"/>
  <c r="F47" i="12"/>
  <c r="F46" i="12"/>
  <c r="F45" i="12"/>
  <c r="F44" i="12"/>
  <c r="F43" i="12"/>
  <c r="F42" i="12"/>
  <c r="F41" i="12"/>
  <c r="F40" i="12"/>
  <c r="F39" i="12"/>
  <c r="F38" i="12"/>
  <c r="F37" i="12"/>
  <c r="F36" i="12"/>
  <c r="F35" i="12"/>
  <c r="F34" i="12"/>
  <c r="F33" i="12"/>
  <c r="F32" i="12"/>
  <c r="F31" i="12"/>
  <c r="F30" i="12"/>
  <c r="F29" i="12"/>
  <c r="F28" i="12"/>
  <c r="F27" i="12"/>
  <c r="F26" i="12"/>
  <c r="F25" i="12"/>
  <c r="F24" i="12"/>
  <c r="F23" i="12"/>
  <c r="F22" i="12"/>
  <c r="F21" i="12"/>
  <c r="F20" i="12"/>
  <c r="F19" i="12"/>
  <c r="F18" i="12"/>
  <c r="F17" i="12"/>
  <c r="F16" i="12"/>
  <c r="F15" i="12"/>
  <c r="F14" i="12"/>
  <c r="F13" i="12"/>
  <c r="F12" i="12"/>
  <c r="F11" i="12"/>
  <c r="F10" i="12"/>
  <c r="F9" i="12"/>
  <c r="F8" i="12"/>
  <c r="F7" i="12"/>
  <c r="F6" i="12"/>
  <c r="F5" i="12"/>
  <c r="F4" i="12"/>
  <c r="F3" i="12"/>
  <c r="I2" i="12"/>
  <c r="F102" i="11"/>
  <c r="F101" i="11"/>
  <c r="F100" i="11"/>
  <c r="F99" i="11"/>
  <c r="F98" i="11"/>
  <c r="F97" i="11"/>
  <c r="F96" i="11"/>
  <c r="F95" i="11"/>
  <c r="F94" i="11"/>
  <c r="F93" i="11"/>
  <c r="F92" i="11"/>
  <c r="F91" i="11"/>
  <c r="F90" i="11"/>
  <c r="F89" i="11"/>
  <c r="F88" i="11"/>
  <c r="F87" i="11"/>
  <c r="F86" i="11"/>
  <c r="F85" i="11"/>
  <c r="F84" i="11"/>
  <c r="F83" i="11"/>
  <c r="F82" i="11"/>
  <c r="F81" i="11"/>
  <c r="F80" i="11"/>
  <c r="F79" i="11"/>
  <c r="F78" i="11"/>
  <c r="F77" i="11"/>
  <c r="F76" i="11"/>
  <c r="F75" i="11"/>
  <c r="F74" i="11"/>
  <c r="F73" i="11"/>
  <c r="F72" i="11"/>
  <c r="F71" i="11"/>
  <c r="F70" i="11"/>
  <c r="F69" i="11"/>
  <c r="F68" i="11"/>
  <c r="F67" i="11"/>
  <c r="F66" i="11"/>
  <c r="F65" i="11"/>
  <c r="F64" i="11"/>
  <c r="F63" i="11"/>
  <c r="F62" i="11"/>
  <c r="F61" i="11"/>
  <c r="F60" i="11"/>
  <c r="F59" i="11"/>
  <c r="F58" i="11"/>
  <c r="F57" i="11"/>
  <c r="F56" i="11"/>
  <c r="F55" i="11"/>
  <c r="F54" i="11"/>
  <c r="F53" i="11"/>
  <c r="F52" i="11"/>
  <c r="F51" i="11"/>
  <c r="F50" i="11"/>
  <c r="F49" i="11"/>
  <c r="F48" i="11"/>
  <c r="F47" i="11"/>
  <c r="F46" i="11"/>
  <c r="F45" i="11"/>
  <c r="F44" i="11"/>
  <c r="F43" i="11"/>
  <c r="F42" i="11"/>
  <c r="F41" i="11"/>
  <c r="F40" i="11"/>
  <c r="F39" i="11"/>
  <c r="F38" i="11"/>
  <c r="F37" i="11"/>
  <c r="F36" i="11"/>
  <c r="F35" i="11"/>
  <c r="F34" i="11"/>
  <c r="F33" i="11"/>
  <c r="F32" i="11"/>
  <c r="F31" i="11"/>
  <c r="F30" i="11"/>
  <c r="F29" i="11"/>
  <c r="F28" i="11"/>
  <c r="F27" i="11"/>
  <c r="F26" i="11"/>
  <c r="F25" i="11"/>
  <c r="F24" i="11"/>
  <c r="F23" i="11"/>
  <c r="F22" i="11"/>
  <c r="F21" i="11"/>
  <c r="F20" i="11"/>
  <c r="F19" i="11"/>
  <c r="F18" i="11"/>
  <c r="F17" i="11"/>
  <c r="F16" i="11"/>
  <c r="F15" i="11"/>
  <c r="F14" i="11"/>
  <c r="F13" i="11"/>
  <c r="F12" i="11"/>
  <c r="F11" i="11"/>
  <c r="F10" i="11"/>
  <c r="F9" i="11"/>
  <c r="F8" i="11"/>
  <c r="F7" i="11"/>
  <c r="F6" i="11"/>
  <c r="F5" i="11"/>
  <c r="F4" i="11"/>
  <c r="I2" i="11"/>
  <c r="S29" i="9"/>
  <c r="S4" i="9"/>
  <c r="S5" i="9"/>
  <c r="S6" i="9"/>
  <c r="S7" i="9"/>
  <c r="S8" i="9"/>
  <c r="S9" i="9"/>
  <c r="S10" i="9"/>
  <c r="S11" i="9"/>
  <c r="S12" i="9"/>
  <c r="S13" i="9"/>
  <c r="S14" i="9"/>
  <c r="S15" i="9"/>
  <c r="S16" i="9"/>
  <c r="S17" i="9"/>
  <c r="S18" i="9"/>
  <c r="S19" i="9"/>
  <c r="S20" i="9"/>
  <c r="S21" i="9"/>
  <c r="S22" i="9"/>
  <c r="S23" i="9"/>
  <c r="S24" i="9"/>
  <c r="S25" i="9"/>
  <c r="S26" i="9"/>
  <c r="S27" i="9"/>
  <c r="S28" i="9"/>
  <c r="S30" i="9"/>
  <c r="S31" i="9"/>
  <c r="S32" i="9"/>
  <c r="S33" i="9"/>
  <c r="S34" i="9"/>
  <c r="S35" i="9"/>
  <c r="S36" i="9"/>
  <c r="S37" i="9"/>
  <c r="S38" i="9"/>
  <c r="S39" i="9"/>
  <c r="S40" i="9"/>
  <c r="S41" i="9"/>
  <c r="S42" i="9"/>
  <c r="S43" i="9"/>
  <c r="S44" i="9"/>
  <c r="S45" i="9"/>
  <c r="S46" i="9"/>
  <c r="S47" i="9"/>
  <c r="S48" i="9"/>
  <c r="S49" i="9"/>
  <c r="S50" i="9"/>
  <c r="S51" i="9"/>
  <c r="S52" i="9"/>
  <c r="S53" i="9"/>
  <c r="S54" i="9"/>
  <c r="S55" i="9"/>
  <c r="S56" i="9"/>
  <c r="S57" i="9"/>
  <c r="S58" i="9"/>
  <c r="S59" i="9"/>
  <c r="S60" i="9"/>
  <c r="S61" i="9"/>
  <c r="S62" i="9"/>
  <c r="S63" i="9"/>
  <c r="S64" i="9"/>
  <c r="S65" i="9"/>
  <c r="S66" i="9"/>
  <c r="S67" i="9"/>
  <c r="S68" i="9"/>
  <c r="S69" i="9"/>
  <c r="S70" i="9"/>
  <c r="S71" i="9"/>
  <c r="S72" i="9"/>
  <c r="S73" i="9"/>
  <c r="S74" i="9"/>
  <c r="S75" i="9"/>
  <c r="S76" i="9"/>
  <c r="S77" i="9"/>
  <c r="S78" i="9"/>
  <c r="S79" i="9"/>
  <c r="S80" i="9"/>
  <c r="S81" i="9"/>
  <c r="S82" i="9"/>
  <c r="S83" i="9"/>
  <c r="S84" i="9"/>
  <c r="S85" i="9"/>
  <c r="S86" i="9"/>
  <c r="S87" i="9"/>
  <c r="S88" i="9"/>
  <c r="S89" i="9"/>
  <c r="S90" i="9"/>
  <c r="S91" i="9"/>
  <c r="S92" i="9"/>
  <c r="S93" i="9"/>
  <c r="S94" i="9"/>
  <c r="S95" i="9"/>
  <c r="S96" i="9"/>
  <c r="S97" i="9"/>
  <c r="S98" i="9"/>
  <c r="S99" i="9"/>
  <c r="S100" i="9"/>
  <c r="S101" i="9"/>
  <c r="S102" i="9"/>
  <c r="S103" i="9"/>
  <c r="S104" i="9"/>
  <c r="S105" i="9"/>
  <c r="S106" i="9"/>
  <c r="S107" i="9"/>
  <c r="S108" i="9"/>
  <c r="S109" i="9"/>
  <c r="S110" i="9"/>
  <c r="S111" i="9"/>
  <c r="S112" i="9"/>
  <c r="S113" i="9"/>
  <c r="S114" i="9"/>
  <c r="S115" i="9"/>
  <c r="S116" i="9"/>
  <c r="S117" i="9"/>
  <c r="S118" i="9"/>
  <c r="S119" i="9"/>
  <c r="S120" i="9"/>
  <c r="S121" i="9"/>
  <c r="S122" i="9"/>
  <c r="S123" i="9"/>
  <c r="S124" i="9"/>
  <c r="S125" i="9"/>
  <c r="S126" i="9"/>
  <c r="S127" i="9"/>
  <c r="S128" i="9"/>
  <c r="S129" i="9"/>
  <c r="S130" i="9"/>
  <c r="S131" i="9"/>
  <c r="S132" i="9"/>
  <c r="S133" i="9"/>
  <c r="S134" i="9"/>
  <c r="S135" i="9"/>
  <c r="S136" i="9"/>
  <c r="S137" i="9"/>
  <c r="S138" i="9"/>
  <c r="S139" i="9"/>
  <c r="S140" i="9"/>
  <c r="S141" i="9"/>
  <c r="S142" i="9"/>
  <c r="S143" i="9"/>
  <c r="S144" i="9"/>
  <c r="S145" i="9"/>
  <c r="S146" i="9"/>
  <c r="S147" i="9"/>
  <c r="S148" i="9"/>
  <c r="S149" i="9"/>
  <c r="S150" i="9"/>
  <c r="S151" i="9"/>
  <c r="S152" i="9"/>
  <c r="S153" i="9"/>
  <c r="S154" i="9"/>
  <c r="S155" i="9"/>
  <c r="S156" i="9"/>
  <c r="S157" i="9"/>
  <c r="S158" i="9"/>
  <c r="S159" i="9"/>
  <c r="S160" i="9"/>
  <c r="S161" i="9"/>
  <c r="S162" i="9"/>
  <c r="S163" i="9"/>
  <c r="S164" i="9"/>
  <c r="S165" i="9"/>
  <c r="S166" i="9"/>
  <c r="S167" i="9"/>
  <c r="S168" i="9"/>
  <c r="S169" i="9"/>
  <c r="S170" i="9"/>
  <c r="S171" i="9"/>
  <c r="S172" i="9"/>
  <c r="S173" i="9"/>
  <c r="S174" i="9"/>
  <c r="S175" i="9"/>
  <c r="S176" i="9"/>
  <c r="S177" i="9"/>
  <c r="S178" i="9"/>
  <c r="S179" i="9"/>
  <c r="S180" i="9"/>
  <c r="S181" i="9"/>
  <c r="S182" i="9"/>
  <c r="S183" i="9"/>
  <c r="S184" i="9"/>
  <c r="S185" i="9"/>
  <c r="S186" i="9"/>
  <c r="S187" i="9"/>
  <c r="S188" i="9"/>
  <c r="S189" i="9"/>
  <c r="S190" i="9"/>
  <c r="S191" i="9"/>
  <c r="S192" i="9"/>
  <c r="S193" i="9"/>
  <c r="S194" i="9"/>
  <c r="S195" i="9"/>
  <c r="S196" i="9"/>
  <c r="S197" i="9"/>
  <c r="S198" i="9"/>
  <c r="S199" i="9"/>
  <c r="S200" i="9"/>
  <c r="S201" i="9"/>
  <c r="S202" i="9"/>
  <c r="S203" i="9"/>
  <c r="S204" i="9"/>
  <c r="S205" i="9"/>
  <c r="S206" i="9"/>
  <c r="S207" i="9"/>
  <c r="S208" i="9"/>
  <c r="S209" i="9"/>
  <c r="S210" i="9"/>
  <c r="S211" i="9"/>
  <c r="S212" i="9"/>
  <c r="S213" i="9"/>
  <c r="S214" i="9"/>
  <c r="S215" i="9"/>
  <c r="S216" i="9"/>
  <c r="S217" i="9"/>
  <c r="S218" i="9"/>
  <c r="S219" i="9"/>
  <c r="S220" i="9"/>
  <c r="S221" i="9"/>
  <c r="S222" i="9"/>
  <c r="S223" i="9"/>
  <c r="S224" i="9"/>
  <c r="S225" i="9"/>
  <c r="S226" i="9"/>
  <c r="S227" i="9"/>
  <c r="S228" i="9"/>
  <c r="S229" i="9"/>
  <c r="S230" i="9"/>
  <c r="S231" i="9"/>
  <c r="S232" i="9"/>
  <c r="S233" i="9"/>
  <c r="S234" i="9"/>
  <c r="S235" i="9"/>
  <c r="S236" i="9"/>
  <c r="S237" i="9"/>
  <c r="S238" i="9"/>
  <c r="S239" i="9"/>
  <c r="S240" i="9"/>
  <c r="S241" i="9"/>
  <c r="S242" i="9"/>
  <c r="S243" i="9"/>
  <c r="S244" i="9"/>
  <c r="S245" i="9"/>
  <c r="S246" i="9"/>
  <c r="S247" i="9"/>
  <c r="S248" i="9"/>
  <c r="S249" i="9"/>
  <c r="S250" i="9"/>
  <c r="S251" i="9"/>
  <c r="S252" i="9"/>
  <c r="S253" i="9"/>
  <c r="S254" i="9"/>
  <c r="S255" i="9"/>
  <c r="S256" i="9"/>
  <c r="S257" i="9"/>
  <c r="S258" i="9"/>
  <c r="S259" i="9"/>
  <c r="S260" i="9"/>
  <c r="S261" i="9"/>
  <c r="S262" i="9"/>
  <c r="S263" i="9"/>
  <c r="S264" i="9"/>
  <c r="S265" i="9"/>
  <c r="S266" i="9"/>
  <c r="S267" i="9"/>
  <c r="S268" i="9"/>
  <c r="S269" i="9"/>
  <c r="S270" i="9"/>
  <c r="S271" i="9"/>
  <c r="S272" i="9"/>
  <c r="S273" i="9"/>
  <c r="S274" i="9"/>
  <c r="S275" i="9"/>
  <c r="S276" i="9"/>
  <c r="S277" i="9"/>
  <c r="S278" i="9"/>
  <c r="S279" i="9"/>
  <c r="S280" i="9"/>
  <c r="S281" i="9"/>
  <c r="S282" i="9"/>
  <c r="S283" i="9"/>
  <c r="S284" i="9"/>
  <c r="S285" i="9"/>
  <c r="S286" i="9"/>
  <c r="S287" i="9"/>
  <c r="S288" i="9"/>
  <c r="S289" i="9"/>
  <c r="S290" i="9"/>
  <c r="S291" i="9"/>
  <c r="S292" i="9"/>
  <c r="S293" i="9"/>
  <c r="S294" i="9"/>
  <c r="S295" i="9"/>
  <c r="S296" i="9"/>
  <c r="S297" i="9"/>
  <c r="S298" i="9"/>
  <c r="S299" i="9"/>
  <c r="S300" i="9"/>
  <c r="S301" i="9"/>
  <c r="S302" i="9"/>
  <c r="S303" i="9"/>
  <c r="S304" i="9"/>
  <c r="S305" i="9"/>
  <c r="S306" i="9"/>
  <c r="S307" i="9"/>
  <c r="S308" i="9"/>
  <c r="S309" i="9"/>
  <c r="S310" i="9"/>
  <c r="S311" i="9"/>
  <c r="S312" i="9"/>
  <c r="S313" i="9"/>
  <c r="S314" i="9"/>
  <c r="S315" i="9"/>
  <c r="S316" i="9"/>
  <c r="S317" i="9"/>
  <c r="S318" i="9"/>
  <c r="S319" i="9"/>
  <c r="S320" i="9"/>
  <c r="S321" i="9"/>
  <c r="S322" i="9"/>
  <c r="S323" i="9"/>
  <c r="S324" i="9"/>
  <c r="S325" i="9"/>
  <c r="S326" i="9"/>
  <c r="S327" i="9"/>
  <c r="S328" i="9"/>
  <c r="S329" i="9"/>
  <c r="S330" i="9"/>
  <c r="S331" i="9"/>
  <c r="S332" i="9"/>
  <c r="S333" i="9"/>
  <c r="S334" i="9"/>
  <c r="S335" i="9"/>
  <c r="S336" i="9"/>
  <c r="S337" i="9"/>
  <c r="S338" i="9"/>
  <c r="S339" i="9"/>
  <c r="S340" i="9"/>
  <c r="S341" i="9"/>
  <c r="S342" i="9"/>
  <c r="S343" i="9"/>
  <c r="S344" i="9"/>
  <c r="S345" i="9"/>
  <c r="S346" i="9"/>
  <c r="S347" i="9"/>
  <c r="S348" i="9"/>
  <c r="S349" i="9"/>
  <c r="S350" i="9"/>
  <c r="S351" i="9"/>
  <c r="S352" i="9"/>
  <c r="S353" i="9"/>
  <c r="S354" i="9"/>
  <c r="S355" i="9"/>
  <c r="S356" i="9"/>
  <c r="S357" i="9"/>
  <c r="S358" i="9"/>
  <c r="S359" i="9"/>
  <c r="S360" i="9"/>
  <c r="S361" i="9"/>
  <c r="S362" i="9"/>
  <c r="S363" i="9"/>
  <c r="S364" i="9"/>
  <c r="S365" i="9"/>
  <c r="S366" i="9"/>
  <c r="S367" i="9"/>
  <c r="S368" i="9"/>
  <c r="S369" i="9"/>
  <c r="S370" i="9"/>
  <c r="S371" i="9"/>
  <c r="S372" i="9"/>
  <c r="S373" i="9"/>
  <c r="S374" i="9"/>
  <c r="S375" i="9"/>
  <c r="S376" i="9"/>
  <c r="S377" i="9"/>
  <c r="S378" i="9"/>
  <c r="S379" i="9"/>
  <c r="S380" i="9"/>
  <c r="S381" i="9"/>
  <c r="S382" i="9"/>
  <c r="S383" i="9"/>
  <c r="S384" i="9"/>
  <c r="S385" i="9"/>
  <c r="S386" i="9"/>
  <c r="S387" i="9"/>
  <c r="S388" i="9"/>
  <c r="S389" i="9"/>
  <c r="S390" i="9"/>
  <c r="S391" i="9"/>
  <c r="S392" i="9"/>
  <c r="S393" i="9"/>
  <c r="S394" i="9"/>
  <c r="S395" i="9"/>
  <c r="S396" i="9"/>
  <c r="S397" i="9"/>
  <c r="S398" i="9"/>
  <c r="S399" i="9"/>
  <c r="S400" i="9"/>
  <c r="S401" i="9"/>
  <c r="S402" i="9"/>
  <c r="S403" i="9"/>
  <c r="S404" i="9"/>
  <c r="S405" i="9"/>
  <c r="S406" i="9"/>
  <c r="S407" i="9"/>
  <c r="S408" i="9"/>
  <c r="S409" i="9"/>
  <c r="S410" i="9"/>
  <c r="S411" i="9"/>
  <c r="S412" i="9"/>
  <c r="S413" i="9"/>
  <c r="S414" i="9"/>
  <c r="S415" i="9"/>
  <c r="S416" i="9"/>
  <c r="S417" i="9"/>
  <c r="S418" i="9"/>
  <c r="S419" i="9"/>
  <c r="S420" i="9"/>
  <c r="S421" i="9"/>
  <c r="S422" i="9"/>
  <c r="S423" i="9"/>
  <c r="S424" i="9"/>
  <c r="S425" i="9"/>
  <c r="S426" i="9"/>
  <c r="S427" i="9"/>
  <c r="S428" i="9"/>
  <c r="S429" i="9"/>
  <c r="S430" i="9"/>
  <c r="S431" i="9"/>
  <c r="S432" i="9"/>
  <c r="S433" i="9"/>
  <c r="S434" i="9"/>
  <c r="S435" i="9"/>
  <c r="S436" i="9"/>
  <c r="S437" i="9"/>
  <c r="S438" i="9"/>
  <c r="S439" i="9"/>
  <c r="S440" i="9"/>
  <c r="S441" i="9"/>
  <c r="S442" i="9"/>
  <c r="S443" i="9"/>
  <c r="S444" i="9"/>
  <c r="S445" i="9"/>
  <c r="S446" i="9"/>
  <c r="S447" i="9"/>
  <c r="S448" i="9"/>
  <c r="S449" i="9"/>
  <c r="S450" i="9"/>
  <c r="S451" i="9"/>
  <c r="S452" i="9"/>
  <c r="S453" i="9"/>
  <c r="S454" i="9"/>
  <c r="S455" i="9"/>
  <c r="S456" i="9"/>
  <c r="S457" i="9"/>
  <c r="S458" i="9"/>
  <c r="S459" i="9"/>
  <c r="S460" i="9"/>
  <c r="S461" i="9"/>
  <c r="S462" i="9"/>
  <c r="S463" i="9"/>
  <c r="S464" i="9"/>
  <c r="S465" i="9"/>
  <c r="S466" i="9"/>
  <c r="S467" i="9"/>
  <c r="S468" i="9"/>
  <c r="S469" i="9"/>
  <c r="S470" i="9"/>
  <c r="S471" i="9"/>
  <c r="S472" i="9"/>
  <c r="S473" i="9"/>
  <c r="S474" i="9"/>
  <c r="S475" i="9"/>
  <c r="S476" i="9"/>
  <c r="S477" i="9"/>
  <c r="S478" i="9"/>
  <c r="S479" i="9"/>
  <c r="S480" i="9"/>
  <c r="S481" i="9"/>
  <c r="S482" i="9"/>
  <c r="S483" i="9"/>
  <c r="S484" i="9"/>
  <c r="S485" i="9"/>
  <c r="S486" i="9"/>
  <c r="S487" i="9"/>
  <c r="S488" i="9"/>
  <c r="S489" i="9"/>
  <c r="S490" i="9"/>
  <c r="S491" i="9"/>
  <c r="S492" i="9"/>
  <c r="S493" i="9"/>
  <c r="S494" i="9"/>
  <c r="S495" i="9"/>
  <c r="S496" i="9"/>
  <c r="S497" i="9"/>
  <c r="S498" i="9"/>
  <c r="S499" i="9"/>
  <c r="S500" i="9"/>
  <c r="S501" i="9"/>
  <c r="S502" i="9"/>
  <c r="S3" i="9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3" i="6"/>
  <c r="S34" i="6"/>
  <c r="S35" i="6"/>
  <c r="S36" i="6"/>
  <c r="S37" i="6"/>
  <c r="S38" i="6"/>
  <c r="S39" i="6"/>
  <c r="S40" i="6"/>
  <c r="S41" i="6"/>
  <c r="S42" i="6"/>
  <c r="S43" i="6"/>
  <c r="S44" i="6"/>
  <c r="S45" i="6"/>
  <c r="S46" i="6"/>
  <c r="S47" i="6"/>
  <c r="S48" i="6"/>
  <c r="S49" i="6"/>
  <c r="S50" i="6"/>
  <c r="S51" i="6"/>
  <c r="S52" i="6"/>
  <c r="S53" i="6"/>
  <c r="S54" i="6"/>
  <c r="S55" i="6"/>
  <c r="S56" i="6"/>
  <c r="S57" i="6"/>
  <c r="S58" i="6"/>
  <c r="S59" i="6"/>
  <c r="S60" i="6"/>
  <c r="S61" i="6"/>
  <c r="S62" i="6"/>
  <c r="S63" i="6"/>
  <c r="S64" i="6"/>
  <c r="S65" i="6"/>
  <c r="S66" i="6"/>
  <c r="S67" i="6"/>
  <c r="S68" i="6"/>
  <c r="S69" i="6"/>
  <c r="S70" i="6"/>
  <c r="S71" i="6"/>
  <c r="S72" i="6"/>
  <c r="S73" i="6"/>
  <c r="S74" i="6"/>
  <c r="S75" i="6"/>
  <c r="S76" i="6"/>
  <c r="S77" i="6"/>
  <c r="S78" i="6"/>
  <c r="S79" i="6"/>
  <c r="S80" i="6"/>
  <c r="S81" i="6"/>
  <c r="S82" i="6"/>
  <c r="S83" i="6"/>
  <c r="S84" i="6"/>
  <c r="S85" i="6"/>
  <c r="S86" i="6"/>
  <c r="S87" i="6"/>
  <c r="S88" i="6"/>
  <c r="S89" i="6"/>
  <c r="S90" i="6"/>
  <c r="S91" i="6"/>
  <c r="S92" i="6"/>
  <c r="S93" i="6"/>
  <c r="S94" i="6"/>
  <c r="S95" i="6"/>
  <c r="S96" i="6"/>
  <c r="S97" i="6"/>
  <c r="S98" i="6"/>
  <c r="S99" i="6"/>
  <c r="S100" i="6"/>
  <c r="S101" i="6"/>
  <c r="S102" i="6"/>
  <c r="S103" i="6"/>
  <c r="S104" i="6"/>
  <c r="S105" i="6"/>
  <c r="S106" i="6"/>
  <c r="S107" i="6"/>
  <c r="S108" i="6"/>
  <c r="S109" i="6"/>
  <c r="S110" i="6"/>
  <c r="S111" i="6"/>
  <c r="S112" i="6"/>
  <c r="S113" i="6"/>
  <c r="S114" i="6"/>
  <c r="S115" i="6"/>
  <c r="S116" i="6"/>
  <c r="S117" i="6"/>
  <c r="S118" i="6"/>
  <c r="S119" i="6"/>
  <c r="S120" i="6"/>
  <c r="S121" i="6"/>
  <c r="S122" i="6"/>
  <c r="S123" i="6"/>
  <c r="S124" i="6"/>
  <c r="S125" i="6"/>
  <c r="S126" i="6"/>
  <c r="S127" i="6"/>
  <c r="S128" i="6"/>
  <c r="S129" i="6"/>
  <c r="S130" i="6"/>
  <c r="S131" i="6"/>
  <c r="S132" i="6"/>
  <c r="S133" i="6"/>
  <c r="S134" i="6"/>
  <c r="S135" i="6"/>
  <c r="S136" i="6"/>
  <c r="S137" i="6"/>
  <c r="S138" i="6"/>
  <c r="S139" i="6"/>
  <c r="S140" i="6"/>
  <c r="S141" i="6"/>
  <c r="S142" i="6"/>
  <c r="S143" i="6"/>
  <c r="S144" i="6"/>
  <c r="S145" i="6"/>
  <c r="S146" i="6"/>
  <c r="S147" i="6"/>
  <c r="S148" i="6"/>
  <c r="S149" i="6"/>
  <c r="S150" i="6"/>
  <c r="S151" i="6"/>
  <c r="S152" i="6"/>
  <c r="S153" i="6"/>
  <c r="S154" i="6"/>
  <c r="S155" i="6"/>
  <c r="S156" i="6"/>
  <c r="S157" i="6"/>
  <c r="S158" i="6"/>
  <c r="S159" i="6"/>
  <c r="S160" i="6"/>
  <c r="S161" i="6"/>
  <c r="S162" i="6"/>
  <c r="S163" i="6"/>
  <c r="S164" i="6"/>
  <c r="S165" i="6"/>
  <c r="S166" i="6"/>
  <c r="S167" i="6"/>
  <c r="S168" i="6"/>
  <c r="S169" i="6"/>
  <c r="S170" i="6"/>
  <c r="S171" i="6"/>
  <c r="S172" i="6"/>
  <c r="S173" i="6"/>
  <c r="S174" i="6"/>
  <c r="S175" i="6"/>
  <c r="S176" i="6"/>
  <c r="S177" i="6"/>
  <c r="S178" i="6"/>
  <c r="S179" i="6"/>
  <c r="S180" i="6"/>
  <c r="S181" i="6"/>
  <c r="S182" i="6"/>
  <c r="S183" i="6"/>
  <c r="S184" i="6"/>
  <c r="S185" i="6"/>
  <c r="S186" i="6"/>
  <c r="S187" i="6"/>
  <c r="S188" i="6"/>
  <c r="S189" i="6"/>
  <c r="S190" i="6"/>
  <c r="S191" i="6"/>
  <c r="S192" i="6"/>
  <c r="S193" i="6"/>
  <c r="S194" i="6"/>
  <c r="S195" i="6"/>
  <c r="S196" i="6"/>
  <c r="S197" i="6"/>
  <c r="S198" i="6"/>
  <c r="S199" i="6"/>
  <c r="S200" i="6"/>
  <c r="S201" i="6"/>
  <c r="S202" i="6"/>
  <c r="S203" i="6"/>
  <c r="S204" i="6"/>
  <c r="S205" i="6"/>
  <c r="S206" i="6"/>
  <c r="S207" i="6"/>
  <c r="S208" i="6"/>
  <c r="S209" i="6"/>
  <c r="S210" i="6"/>
  <c r="S211" i="6"/>
  <c r="S212" i="6"/>
  <c r="S213" i="6"/>
  <c r="S214" i="6"/>
  <c r="S215" i="6"/>
  <c r="S216" i="6"/>
  <c r="S217" i="6"/>
  <c r="S218" i="6"/>
  <c r="S219" i="6"/>
  <c r="S220" i="6"/>
  <c r="S221" i="6"/>
  <c r="S222" i="6"/>
  <c r="S223" i="6"/>
  <c r="S224" i="6"/>
  <c r="S225" i="6"/>
  <c r="S226" i="6"/>
  <c r="S227" i="6"/>
  <c r="S228" i="6"/>
  <c r="S229" i="6"/>
  <c r="S230" i="6"/>
  <c r="S231" i="6"/>
  <c r="S232" i="6"/>
  <c r="S233" i="6"/>
  <c r="S234" i="6"/>
  <c r="S235" i="6"/>
  <c r="S236" i="6"/>
  <c r="S237" i="6"/>
  <c r="S238" i="6"/>
  <c r="S239" i="6"/>
  <c r="S240" i="6"/>
  <c r="S241" i="6"/>
  <c r="S242" i="6"/>
  <c r="S243" i="6"/>
  <c r="S244" i="6"/>
  <c r="S245" i="6"/>
  <c r="S246" i="6"/>
  <c r="S247" i="6"/>
  <c r="S248" i="6"/>
  <c r="S249" i="6"/>
  <c r="S250" i="6"/>
  <c r="S251" i="6"/>
  <c r="S252" i="6"/>
  <c r="S253" i="6"/>
  <c r="S254" i="6"/>
  <c r="S255" i="6"/>
  <c r="S256" i="6"/>
  <c r="S257" i="6"/>
  <c r="S258" i="6"/>
  <c r="S259" i="6"/>
  <c r="S260" i="6"/>
  <c r="S261" i="6"/>
  <c r="S262" i="6"/>
  <c r="S263" i="6"/>
  <c r="S264" i="6"/>
  <c r="S265" i="6"/>
  <c r="S266" i="6"/>
  <c r="S267" i="6"/>
  <c r="S268" i="6"/>
  <c r="S269" i="6"/>
  <c r="S270" i="6"/>
  <c r="S271" i="6"/>
  <c r="S272" i="6"/>
  <c r="S273" i="6"/>
  <c r="S274" i="6"/>
  <c r="S275" i="6"/>
  <c r="S276" i="6"/>
  <c r="S277" i="6"/>
  <c r="S278" i="6"/>
  <c r="S279" i="6"/>
  <c r="S280" i="6"/>
  <c r="S281" i="6"/>
  <c r="S282" i="6"/>
  <c r="S283" i="6"/>
  <c r="S284" i="6"/>
  <c r="S285" i="6"/>
  <c r="S286" i="6"/>
  <c r="S287" i="6"/>
  <c r="S288" i="6"/>
  <c r="S289" i="6"/>
  <c r="S290" i="6"/>
  <c r="S291" i="6"/>
  <c r="S292" i="6"/>
  <c r="S293" i="6"/>
  <c r="S294" i="6"/>
  <c r="S295" i="6"/>
  <c r="S296" i="6"/>
  <c r="S297" i="6"/>
  <c r="S298" i="6"/>
  <c r="S299" i="6"/>
  <c r="S300" i="6"/>
  <c r="S301" i="6"/>
  <c r="S302" i="6"/>
  <c r="S303" i="6"/>
  <c r="S304" i="6"/>
  <c r="S305" i="6"/>
  <c r="S306" i="6"/>
  <c r="S307" i="6"/>
  <c r="S308" i="6"/>
  <c r="S309" i="6"/>
  <c r="S310" i="6"/>
  <c r="S311" i="6"/>
  <c r="S312" i="6"/>
  <c r="S313" i="6"/>
  <c r="S314" i="6"/>
  <c r="S315" i="6"/>
  <c r="S316" i="6"/>
  <c r="S317" i="6"/>
  <c r="S318" i="6"/>
  <c r="S319" i="6"/>
  <c r="S320" i="6"/>
  <c r="S321" i="6"/>
  <c r="S322" i="6"/>
  <c r="S323" i="6"/>
  <c r="S324" i="6"/>
  <c r="S325" i="6"/>
  <c r="S326" i="6"/>
  <c r="S327" i="6"/>
  <c r="S328" i="6"/>
  <c r="S329" i="6"/>
  <c r="S330" i="6"/>
  <c r="S331" i="6"/>
  <c r="S332" i="6"/>
  <c r="S333" i="6"/>
  <c r="S334" i="6"/>
  <c r="S335" i="6"/>
  <c r="S336" i="6"/>
  <c r="S337" i="6"/>
  <c r="S338" i="6"/>
  <c r="S339" i="6"/>
  <c r="S340" i="6"/>
  <c r="S341" i="6"/>
  <c r="S342" i="6"/>
  <c r="S343" i="6"/>
  <c r="S344" i="6"/>
  <c r="S345" i="6"/>
  <c r="S346" i="6"/>
  <c r="S347" i="6"/>
  <c r="S348" i="6"/>
  <c r="S349" i="6"/>
  <c r="S350" i="6"/>
  <c r="S351" i="6"/>
  <c r="S352" i="6"/>
  <c r="S353" i="6"/>
  <c r="S354" i="6"/>
  <c r="S355" i="6"/>
  <c r="S356" i="6"/>
  <c r="S357" i="6"/>
  <c r="S358" i="6"/>
  <c r="S359" i="6"/>
  <c r="S360" i="6"/>
  <c r="S361" i="6"/>
  <c r="S362" i="6"/>
  <c r="S363" i="6"/>
  <c r="S364" i="6"/>
  <c r="S365" i="6"/>
  <c r="S366" i="6"/>
  <c r="S367" i="6"/>
  <c r="S368" i="6"/>
  <c r="S369" i="6"/>
  <c r="S370" i="6"/>
  <c r="S371" i="6"/>
  <c r="S372" i="6"/>
  <c r="S373" i="6"/>
  <c r="S374" i="6"/>
  <c r="S375" i="6"/>
  <c r="S376" i="6"/>
  <c r="S377" i="6"/>
  <c r="S378" i="6"/>
  <c r="S379" i="6"/>
  <c r="S380" i="6"/>
  <c r="S381" i="6"/>
  <c r="S382" i="6"/>
  <c r="S383" i="6"/>
  <c r="S384" i="6"/>
  <c r="S385" i="6"/>
  <c r="S386" i="6"/>
  <c r="S387" i="6"/>
  <c r="S388" i="6"/>
  <c r="S389" i="6"/>
  <c r="S390" i="6"/>
  <c r="S391" i="6"/>
  <c r="S392" i="6"/>
  <c r="S393" i="6"/>
  <c r="S394" i="6"/>
  <c r="S395" i="6"/>
  <c r="S396" i="6"/>
  <c r="S397" i="6"/>
  <c r="S398" i="6"/>
  <c r="S399" i="6"/>
  <c r="S400" i="6"/>
  <c r="S401" i="6"/>
  <c r="S402" i="6"/>
  <c r="S403" i="6"/>
  <c r="S404" i="6"/>
  <c r="S405" i="6"/>
  <c r="S406" i="6"/>
  <c r="S407" i="6"/>
  <c r="S408" i="6"/>
  <c r="S409" i="6"/>
  <c r="S410" i="6"/>
  <c r="S411" i="6"/>
  <c r="S412" i="6"/>
  <c r="S413" i="6"/>
  <c r="S414" i="6"/>
  <c r="S415" i="6"/>
  <c r="S416" i="6"/>
  <c r="S417" i="6"/>
  <c r="S418" i="6"/>
  <c r="S419" i="6"/>
  <c r="S420" i="6"/>
  <c r="S421" i="6"/>
  <c r="S422" i="6"/>
  <c r="S423" i="6"/>
  <c r="S424" i="6"/>
  <c r="S425" i="6"/>
  <c r="S426" i="6"/>
  <c r="S427" i="6"/>
  <c r="S428" i="6"/>
  <c r="S429" i="6"/>
  <c r="S430" i="6"/>
  <c r="S431" i="6"/>
  <c r="S432" i="6"/>
  <c r="S433" i="6"/>
  <c r="S434" i="6"/>
  <c r="S435" i="6"/>
  <c r="S436" i="6"/>
  <c r="S437" i="6"/>
  <c r="S438" i="6"/>
  <c r="S439" i="6"/>
  <c r="S440" i="6"/>
  <c r="S441" i="6"/>
  <c r="S442" i="6"/>
  <c r="S443" i="6"/>
  <c r="S444" i="6"/>
  <c r="S445" i="6"/>
  <c r="S446" i="6"/>
  <c r="S447" i="6"/>
  <c r="S448" i="6"/>
  <c r="S449" i="6"/>
  <c r="S450" i="6"/>
  <c r="S451" i="6"/>
  <c r="S452" i="6"/>
  <c r="S453" i="6"/>
  <c r="S454" i="6"/>
  <c r="S455" i="6"/>
  <c r="S456" i="6"/>
  <c r="S457" i="6"/>
  <c r="S458" i="6"/>
  <c r="S459" i="6"/>
  <c r="S460" i="6"/>
  <c r="S461" i="6"/>
  <c r="S462" i="6"/>
  <c r="S463" i="6"/>
  <c r="S464" i="6"/>
  <c r="S465" i="6"/>
  <c r="S466" i="6"/>
  <c r="S467" i="6"/>
  <c r="S468" i="6"/>
  <c r="S469" i="6"/>
  <c r="S470" i="6"/>
  <c r="S471" i="6"/>
  <c r="S472" i="6"/>
  <c r="S473" i="6"/>
  <c r="S474" i="6"/>
  <c r="S475" i="6"/>
  <c r="S476" i="6"/>
  <c r="S477" i="6"/>
  <c r="S478" i="6"/>
  <c r="S479" i="6"/>
  <c r="S480" i="6"/>
  <c r="S481" i="6"/>
  <c r="S482" i="6"/>
  <c r="S483" i="6"/>
  <c r="S484" i="6"/>
  <c r="S485" i="6"/>
  <c r="S486" i="6"/>
  <c r="S487" i="6"/>
  <c r="S488" i="6"/>
  <c r="S489" i="6"/>
  <c r="S490" i="6"/>
  <c r="S491" i="6"/>
  <c r="S492" i="6"/>
  <c r="S493" i="6"/>
  <c r="S494" i="6"/>
  <c r="S495" i="6"/>
  <c r="S496" i="6"/>
  <c r="S497" i="6"/>
  <c r="S498" i="6"/>
  <c r="S499" i="6"/>
  <c r="S500" i="6"/>
  <c r="S501" i="6"/>
  <c r="S502" i="6"/>
  <c r="S4" i="6"/>
  <c r="S3" i="6"/>
  <c r="S18" i="8"/>
  <c r="S17" i="8"/>
  <c r="S4" i="8"/>
  <c r="S5" i="8"/>
  <c r="S6" i="8"/>
  <c r="S7" i="8"/>
  <c r="S8" i="8"/>
  <c r="S9" i="8"/>
  <c r="S10" i="8"/>
  <c r="S11" i="8"/>
  <c r="S12" i="8"/>
  <c r="S13" i="8"/>
  <c r="S14" i="8"/>
  <c r="S15" i="8"/>
  <c r="S16" i="8"/>
  <c r="S19" i="8"/>
  <c r="S20" i="8"/>
  <c r="S21" i="8"/>
  <c r="S22" i="8"/>
  <c r="S23" i="8"/>
  <c r="S24" i="8"/>
  <c r="S25" i="8"/>
  <c r="S26" i="8"/>
  <c r="S27" i="8"/>
  <c r="S28" i="8"/>
  <c r="S29" i="8"/>
  <c r="S30" i="8"/>
  <c r="S31" i="8"/>
  <c r="S32" i="8"/>
  <c r="S33" i="8"/>
  <c r="S34" i="8"/>
  <c r="S35" i="8"/>
  <c r="S36" i="8"/>
  <c r="S37" i="8"/>
  <c r="S38" i="8"/>
  <c r="S39" i="8"/>
  <c r="S40" i="8"/>
  <c r="S41" i="8"/>
  <c r="S42" i="8"/>
  <c r="S43" i="8"/>
  <c r="S44" i="8"/>
  <c r="S45" i="8"/>
  <c r="S46" i="8"/>
  <c r="S47" i="8"/>
  <c r="S48" i="8"/>
  <c r="S49" i="8"/>
  <c r="S50" i="8"/>
  <c r="S51" i="8"/>
  <c r="S52" i="8"/>
  <c r="S53" i="8"/>
  <c r="S54" i="8"/>
  <c r="S55" i="8"/>
  <c r="S56" i="8"/>
  <c r="S57" i="8"/>
  <c r="S58" i="8"/>
  <c r="S59" i="8"/>
  <c r="S60" i="8"/>
  <c r="S61" i="8"/>
  <c r="S62" i="8"/>
  <c r="S63" i="8"/>
  <c r="S64" i="8"/>
  <c r="S65" i="8"/>
  <c r="S66" i="8"/>
  <c r="S67" i="8"/>
  <c r="S68" i="8"/>
  <c r="S69" i="8"/>
  <c r="S70" i="8"/>
  <c r="S71" i="8"/>
  <c r="S72" i="8"/>
  <c r="S73" i="8"/>
  <c r="S74" i="8"/>
  <c r="S75" i="8"/>
  <c r="S76" i="8"/>
  <c r="S77" i="8"/>
  <c r="S78" i="8"/>
  <c r="S79" i="8"/>
  <c r="S80" i="8"/>
  <c r="S81" i="8"/>
  <c r="S82" i="8"/>
  <c r="S83" i="8"/>
  <c r="S84" i="8"/>
  <c r="S85" i="8"/>
  <c r="S86" i="8"/>
  <c r="S87" i="8"/>
  <c r="S88" i="8"/>
  <c r="S89" i="8"/>
  <c r="S90" i="8"/>
  <c r="S91" i="8"/>
  <c r="S92" i="8"/>
  <c r="S93" i="8"/>
  <c r="S94" i="8"/>
  <c r="S95" i="8"/>
  <c r="S96" i="8"/>
  <c r="S97" i="8"/>
  <c r="S98" i="8"/>
  <c r="S99" i="8"/>
  <c r="S100" i="8"/>
  <c r="S101" i="8"/>
  <c r="S102" i="8"/>
  <c r="S103" i="8"/>
  <c r="S104" i="8"/>
  <c r="S105" i="8"/>
  <c r="S106" i="8"/>
  <c r="S107" i="8"/>
  <c r="S108" i="8"/>
  <c r="S109" i="8"/>
  <c r="S110" i="8"/>
  <c r="S111" i="8"/>
  <c r="S112" i="8"/>
  <c r="S113" i="8"/>
  <c r="S114" i="8"/>
  <c r="S115" i="8"/>
  <c r="S116" i="8"/>
  <c r="S117" i="8"/>
  <c r="S118" i="8"/>
  <c r="S119" i="8"/>
  <c r="S120" i="8"/>
  <c r="S121" i="8"/>
  <c r="S122" i="8"/>
  <c r="S123" i="8"/>
  <c r="S124" i="8"/>
  <c r="S125" i="8"/>
  <c r="S126" i="8"/>
  <c r="S127" i="8"/>
  <c r="S128" i="8"/>
  <c r="S129" i="8"/>
  <c r="S130" i="8"/>
  <c r="S131" i="8"/>
  <c r="S132" i="8"/>
  <c r="S133" i="8"/>
  <c r="S134" i="8"/>
  <c r="S135" i="8"/>
  <c r="S136" i="8"/>
  <c r="S137" i="8"/>
  <c r="S138" i="8"/>
  <c r="S139" i="8"/>
  <c r="S140" i="8"/>
  <c r="S141" i="8"/>
  <c r="S142" i="8"/>
  <c r="S143" i="8"/>
  <c r="S144" i="8"/>
  <c r="S145" i="8"/>
  <c r="S146" i="8"/>
  <c r="S147" i="8"/>
  <c r="S148" i="8"/>
  <c r="S149" i="8"/>
  <c r="S150" i="8"/>
  <c r="S151" i="8"/>
  <c r="S152" i="8"/>
  <c r="S153" i="8"/>
  <c r="S154" i="8"/>
  <c r="S155" i="8"/>
  <c r="S156" i="8"/>
  <c r="S157" i="8"/>
  <c r="S158" i="8"/>
  <c r="S159" i="8"/>
  <c r="S160" i="8"/>
  <c r="S161" i="8"/>
  <c r="S162" i="8"/>
  <c r="S163" i="8"/>
  <c r="S164" i="8"/>
  <c r="S165" i="8"/>
  <c r="S166" i="8"/>
  <c r="S167" i="8"/>
  <c r="S168" i="8"/>
  <c r="S169" i="8"/>
  <c r="S170" i="8"/>
  <c r="S171" i="8"/>
  <c r="S172" i="8"/>
  <c r="S173" i="8"/>
  <c r="S174" i="8"/>
  <c r="S175" i="8"/>
  <c r="S176" i="8"/>
  <c r="S177" i="8"/>
  <c r="S178" i="8"/>
  <c r="S179" i="8"/>
  <c r="S180" i="8"/>
  <c r="S181" i="8"/>
  <c r="S182" i="8"/>
  <c r="S183" i="8"/>
  <c r="S184" i="8"/>
  <c r="S185" i="8"/>
  <c r="S186" i="8"/>
  <c r="S187" i="8"/>
  <c r="S188" i="8"/>
  <c r="S189" i="8"/>
  <c r="S190" i="8"/>
  <c r="S191" i="8"/>
  <c r="S192" i="8"/>
  <c r="S193" i="8"/>
  <c r="S194" i="8"/>
  <c r="S195" i="8"/>
  <c r="S196" i="8"/>
  <c r="S197" i="8"/>
  <c r="S198" i="8"/>
  <c r="S199" i="8"/>
  <c r="S200" i="8"/>
  <c r="S201" i="8"/>
  <c r="S202" i="8"/>
  <c r="S203" i="8"/>
  <c r="S204" i="8"/>
  <c r="S205" i="8"/>
  <c r="S206" i="8"/>
  <c r="S207" i="8"/>
  <c r="S208" i="8"/>
  <c r="S209" i="8"/>
  <c r="S210" i="8"/>
  <c r="S211" i="8"/>
  <c r="S212" i="8"/>
  <c r="S213" i="8"/>
  <c r="S214" i="8"/>
  <c r="S215" i="8"/>
  <c r="S216" i="8"/>
  <c r="S217" i="8"/>
  <c r="S218" i="8"/>
  <c r="S219" i="8"/>
  <c r="S220" i="8"/>
  <c r="S221" i="8"/>
  <c r="S222" i="8"/>
  <c r="S223" i="8"/>
  <c r="S224" i="8"/>
  <c r="S225" i="8"/>
  <c r="S226" i="8"/>
  <c r="S227" i="8"/>
  <c r="S228" i="8"/>
  <c r="S229" i="8"/>
  <c r="S230" i="8"/>
  <c r="S231" i="8"/>
  <c r="S232" i="8"/>
  <c r="S233" i="8"/>
  <c r="S234" i="8"/>
  <c r="S235" i="8"/>
  <c r="S236" i="8"/>
  <c r="S237" i="8"/>
  <c r="S238" i="8"/>
  <c r="S239" i="8"/>
  <c r="S240" i="8"/>
  <c r="S241" i="8"/>
  <c r="S242" i="8"/>
  <c r="S243" i="8"/>
  <c r="S244" i="8"/>
  <c r="S245" i="8"/>
  <c r="S246" i="8"/>
  <c r="S247" i="8"/>
  <c r="S248" i="8"/>
  <c r="S249" i="8"/>
  <c r="S250" i="8"/>
  <c r="S251" i="8"/>
  <c r="S252" i="8"/>
  <c r="S253" i="8"/>
  <c r="S254" i="8"/>
  <c r="S255" i="8"/>
  <c r="S256" i="8"/>
  <c r="S257" i="8"/>
  <c r="S258" i="8"/>
  <c r="S259" i="8"/>
  <c r="S260" i="8"/>
  <c r="S261" i="8"/>
  <c r="S262" i="8"/>
  <c r="S263" i="8"/>
  <c r="S264" i="8"/>
  <c r="S265" i="8"/>
  <c r="S266" i="8"/>
  <c r="S267" i="8"/>
  <c r="S268" i="8"/>
  <c r="S269" i="8"/>
  <c r="S270" i="8"/>
  <c r="S271" i="8"/>
  <c r="S272" i="8"/>
  <c r="S273" i="8"/>
  <c r="S274" i="8"/>
  <c r="S275" i="8"/>
  <c r="S276" i="8"/>
  <c r="S277" i="8"/>
  <c r="S278" i="8"/>
  <c r="S279" i="8"/>
  <c r="S280" i="8"/>
  <c r="S281" i="8"/>
  <c r="S282" i="8"/>
  <c r="S283" i="8"/>
  <c r="S284" i="8"/>
  <c r="S285" i="8"/>
  <c r="S286" i="8"/>
  <c r="S287" i="8"/>
  <c r="S288" i="8"/>
  <c r="S289" i="8"/>
  <c r="S290" i="8"/>
  <c r="S291" i="8"/>
  <c r="S292" i="8"/>
  <c r="S293" i="8"/>
  <c r="S294" i="8"/>
  <c r="S295" i="8"/>
  <c r="S296" i="8"/>
  <c r="S297" i="8"/>
  <c r="S298" i="8"/>
  <c r="S299" i="8"/>
  <c r="S300" i="8"/>
  <c r="S301" i="8"/>
  <c r="S302" i="8"/>
  <c r="S303" i="8"/>
  <c r="S304" i="8"/>
  <c r="S305" i="8"/>
  <c r="S306" i="8"/>
  <c r="S307" i="8"/>
  <c r="S308" i="8"/>
  <c r="S309" i="8"/>
  <c r="S310" i="8"/>
  <c r="S311" i="8"/>
  <c r="S312" i="8"/>
  <c r="S313" i="8"/>
  <c r="S314" i="8"/>
  <c r="S315" i="8"/>
  <c r="S316" i="8"/>
  <c r="S317" i="8"/>
  <c r="S318" i="8"/>
  <c r="S319" i="8"/>
  <c r="S320" i="8"/>
  <c r="S321" i="8"/>
  <c r="S322" i="8"/>
  <c r="S323" i="8"/>
  <c r="S324" i="8"/>
  <c r="S325" i="8"/>
  <c r="S326" i="8"/>
  <c r="S327" i="8"/>
  <c r="S328" i="8"/>
  <c r="S329" i="8"/>
  <c r="S330" i="8"/>
  <c r="S331" i="8"/>
  <c r="S332" i="8"/>
  <c r="S333" i="8"/>
  <c r="S334" i="8"/>
  <c r="S335" i="8"/>
  <c r="S336" i="8"/>
  <c r="S337" i="8"/>
  <c r="S338" i="8"/>
  <c r="S339" i="8"/>
  <c r="S340" i="8"/>
  <c r="S341" i="8"/>
  <c r="S342" i="8"/>
  <c r="S343" i="8"/>
  <c r="S344" i="8"/>
  <c r="S345" i="8"/>
  <c r="S346" i="8"/>
  <c r="S347" i="8"/>
  <c r="S348" i="8"/>
  <c r="S349" i="8"/>
  <c r="S350" i="8"/>
  <c r="S351" i="8"/>
  <c r="S352" i="8"/>
  <c r="S353" i="8"/>
  <c r="S354" i="8"/>
  <c r="S355" i="8"/>
  <c r="S356" i="8"/>
  <c r="S357" i="8"/>
  <c r="S358" i="8"/>
  <c r="S359" i="8"/>
  <c r="S360" i="8"/>
  <c r="S361" i="8"/>
  <c r="S362" i="8"/>
  <c r="S363" i="8"/>
  <c r="S364" i="8"/>
  <c r="S365" i="8"/>
  <c r="S366" i="8"/>
  <c r="S367" i="8"/>
  <c r="S368" i="8"/>
  <c r="S369" i="8"/>
  <c r="S370" i="8"/>
  <c r="S371" i="8"/>
  <c r="S372" i="8"/>
  <c r="S373" i="8"/>
  <c r="S374" i="8"/>
  <c r="S375" i="8"/>
  <c r="S376" i="8"/>
  <c r="S377" i="8"/>
  <c r="S378" i="8"/>
  <c r="S379" i="8"/>
  <c r="S380" i="8"/>
  <c r="S381" i="8"/>
  <c r="S382" i="8"/>
  <c r="S383" i="8"/>
  <c r="S384" i="8"/>
  <c r="S385" i="8"/>
  <c r="S386" i="8"/>
  <c r="S387" i="8"/>
  <c r="S388" i="8"/>
  <c r="S389" i="8"/>
  <c r="S390" i="8"/>
  <c r="S391" i="8"/>
  <c r="S392" i="8"/>
  <c r="S393" i="8"/>
  <c r="S394" i="8"/>
  <c r="S395" i="8"/>
  <c r="S396" i="8"/>
  <c r="S397" i="8"/>
  <c r="S398" i="8"/>
  <c r="S399" i="8"/>
  <c r="S400" i="8"/>
  <c r="S401" i="8"/>
  <c r="S402" i="8"/>
  <c r="S403" i="8"/>
  <c r="S404" i="8"/>
  <c r="S405" i="8"/>
  <c r="S406" i="8"/>
  <c r="S407" i="8"/>
  <c r="S408" i="8"/>
  <c r="S409" i="8"/>
  <c r="S410" i="8"/>
  <c r="S411" i="8"/>
  <c r="S412" i="8"/>
  <c r="S413" i="8"/>
  <c r="S414" i="8"/>
  <c r="S415" i="8"/>
  <c r="S416" i="8"/>
  <c r="S417" i="8"/>
  <c r="S418" i="8"/>
  <c r="S419" i="8"/>
  <c r="S420" i="8"/>
  <c r="S421" i="8"/>
  <c r="S422" i="8"/>
  <c r="S423" i="8"/>
  <c r="S424" i="8"/>
  <c r="S425" i="8"/>
  <c r="S426" i="8"/>
  <c r="S427" i="8"/>
  <c r="S428" i="8"/>
  <c r="S429" i="8"/>
  <c r="S430" i="8"/>
  <c r="S431" i="8"/>
  <c r="S432" i="8"/>
  <c r="S433" i="8"/>
  <c r="S434" i="8"/>
  <c r="S435" i="8"/>
  <c r="S436" i="8"/>
  <c r="S437" i="8"/>
  <c r="S438" i="8"/>
  <c r="S439" i="8"/>
  <c r="S440" i="8"/>
  <c r="S441" i="8"/>
  <c r="S442" i="8"/>
  <c r="S443" i="8"/>
  <c r="S444" i="8"/>
  <c r="S445" i="8"/>
  <c r="S446" i="8"/>
  <c r="S447" i="8"/>
  <c r="S448" i="8"/>
  <c r="S449" i="8"/>
  <c r="S450" i="8"/>
  <c r="S451" i="8"/>
  <c r="S452" i="8"/>
  <c r="S453" i="8"/>
  <c r="S454" i="8"/>
  <c r="S455" i="8"/>
  <c r="S456" i="8"/>
  <c r="S457" i="8"/>
  <c r="S458" i="8"/>
  <c r="S459" i="8"/>
  <c r="S460" i="8"/>
  <c r="S461" i="8"/>
  <c r="S462" i="8"/>
  <c r="S463" i="8"/>
  <c r="S464" i="8"/>
  <c r="S465" i="8"/>
  <c r="S466" i="8"/>
  <c r="S467" i="8"/>
  <c r="S468" i="8"/>
  <c r="S469" i="8"/>
  <c r="S470" i="8"/>
  <c r="S471" i="8"/>
  <c r="S472" i="8"/>
  <c r="S473" i="8"/>
  <c r="S474" i="8"/>
  <c r="S475" i="8"/>
  <c r="S476" i="8"/>
  <c r="S477" i="8"/>
  <c r="S478" i="8"/>
  <c r="S479" i="8"/>
  <c r="S480" i="8"/>
  <c r="S481" i="8"/>
  <c r="S482" i="8"/>
  <c r="S483" i="8"/>
  <c r="S484" i="8"/>
  <c r="S485" i="8"/>
  <c r="S486" i="8"/>
  <c r="S487" i="8"/>
  <c r="S488" i="8"/>
  <c r="S489" i="8"/>
  <c r="S490" i="8"/>
  <c r="S491" i="8"/>
  <c r="S492" i="8"/>
  <c r="S493" i="8"/>
  <c r="S494" i="8"/>
  <c r="S495" i="8"/>
  <c r="S496" i="8"/>
  <c r="S497" i="8"/>
  <c r="S498" i="8"/>
  <c r="S499" i="8"/>
  <c r="S500" i="8"/>
  <c r="S501" i="8"/>
  <c r="S502" i="8"/>
  <c r="S3" i="8"/>
  <c r="S103" i="5"/>
  <c r="S104" i="5"/>
  <c r="S105" i="5"/>
  <c r="S106" i="5"/>
  <c r="S107" i="5"/>
  <c r="S108" i="5"/>
  <c r="S109" i="5"/>
  <c r="S110" i="5"/>
  <c r="S111" i="5"/>
  <c r="S112" i="5"/>
  <c r="S113" i="5"/>
  <c r="S114" i="5"/>
  <c r="S115" i="5"/>
  <c r="S116" i="5"/>
  <c r="S117" i="5"/>
  <c r="S118" i="5"/>
  <c r="S119" i="5"/>
  <c r="S120" i="5"/>
  <c r="S121" i="5"/>
  <c r="S122" i="5"/>
  <c r="S123" i="5"/>
  <c r="S124" i="5"/>
  <c r="S125" i="5"/>
  <c r="S126" i="5"/>
  <c r="S127" i="5"/>
  <c r="S128" i="5"/>
  <c r="S129" i="5"/>
  <c r="S130" i="5"/>
  <c r="S131" i="5"/>
  <c r="S132" i="5"/>
  <c r="S133" i="5"/>
  <c r="S134" i="5"/>
  <c r="S135" i="5"/>
  <c r="S136" i="5"/>
  <c r="S137" i="5"/>
  <c r="S138" i="5"/>
  <c r="S139" i="5"/>
  <c r="S140" i="5"/>
  <c r="S141" i="5"/>
  <c r="S142" i="5"/>
  <c r="S143" i="5"/>
  <c r="S144" i="5"/>
  <c r="S145" i="5"/>
  <c r="S146" i="5"/>
  <c r="S147" i="5"/>
  <c r="S148" i="5"/>
  <c r="S149" i="5"/>
  <c r="S150" i="5"/>
  <c r="S151" i="5"/>
  <c r="S152" i="5"/>
  <c r="S153" i="5"/>
  <c r="S154" i="5"/>
  <c r="S155" i="5"/>
  <c r="S156" i="5"/>
  <c r="S157" i="5"/>
  <c r="S158" i="5"/>
  <c r="S159" i="5"/>
  <c r="S160" i="5"/>
  <c r="S161" i="5"/>
  <c r="S162" i="5"/>
  <c r="S163" i="5"/>
  <c r="S164" i="5"/>
  <c r="S165" i="5"/>
  <c r="S166" i="5"/>
  <c r="S167" i="5"/>
  <c r="S168" i="5"/>
  <c r="S169" i="5"/>
  <c r="S170" i="5"/>
  <c r="S171" i="5"/>
  <c r="S172" i="5"/>
  <c r="S173" i="5"/>
  <c r="S174" i="5"/>
  <c r="S175" i="5"/>
  <c r="S176" i="5"/>
  <c r="S177" i="5"/>
  <c r="S178" i="5"/>
  <c r="S179" i="5"/>
  <c r="S180" i="5"/>
  <c r="S181" i="5"/>
  <c r="S182" i="5"/>
  <c r="S183" i="5"/>
  <c r="S184" i="5"/>
  <c r="S185" i="5"/>
  <c r="S186" i="5"/>
  <c r="S187" i="5"/>
  <c r="S188" i="5"/>
  <c r="S189" i="5"/>
  <c r="S190" i="5"/>
  <c r="S191" i="5"/>
  <c r="S192" i="5"/>
  <c r="S193" i="5"/>
  <c r="S194" i="5"/>
  <c r="S195" i="5"/>
  <c r="S196" i="5"/>
  <c r="S197" i="5"/>
  <c r="S198" i="5"/>
  <c r="S199" i="5"/>
  <c r="S200" i="5"/>
  <c r="S201" i="5"/>
  <c r="S202" i="5"/>
  <c r="S203" i="5"/>
  <c r="S204" i="5"/>
  <c r="S205" i="5"/>
  <c r="S206" i="5"/>
  <c r="S207" i="5"/>
  <c r="S208" i="5"/>
  <c r="S209" i="5"/>
  <c r="S210" i="5"/>
  <c r="S211" i="5"/>
  <c r="S212" i="5"/>
  <c r="S213" i="5"/>
  <c r="S214" i="5"/>
  <c r="S215" i="5"/>
  <c r="S216" i="5"/>
  <c r="S217" i="5"/>
  <c r="S218" i="5"/>
  <c r="S219" i="5"/>
  <c r="S220" i="5"/>
  <c r="S221" i="5"/>
  <c r="S222" i="5"/>
  <c r="S223" i="5"/>
  <c r="S224" i="5"/>
  <c r="S225" i="5"/>
  <c r="S226" i="5"/>
  <c r="S227" i="5"/>
  <c r="S228" i="5"/>
  <c r="S229" i="5"/>
  <c r="S230" i="5"/>
  <c r="S231" i="5"/>
  <c r="S232" i="5"/>
  <c r="S233" i="5"/>
  <c r="S234" i="5"/>
  <c r="S235" i="5"/>
  <c r="S236" i="5"/>
  <c r="S237" i="5"/>
  <c r="S238" i="5"/>
  <c r="S239" i="5"/>
  <c r="S240" i="5"/>
  <c r="S241" i="5"/>
  <c r="S242" i="5"/>
  <c r="S243" i="5"/>
  <c r="S244" i="5"/>
  <c r="S245" i="5"/>
  <c r="S246" i="5"/>
  <c r="S247" i="5"/>
  <c r="S248" i="5"/>
  <c r="S249" i="5"/>
  <c r="S250" i="5"/>
  <c r="S251" i="5"/>
  <c r="S252" i="5"/>
  <c r="S253" i="5"/>
  <c r="S254" i="5"/>
  <c r="S255" i="5"/>
  <c r="S256" i="5"/>
  <c r="S257" i="5"/>
  <c r="S258" i="5"/>
  <c r="S259" i="5"/>
  <c r="S260" i="5"/>
  <c r="S261" i="5"/>
  <c r="S262" i="5"/>
  <c r="S263" i="5"/>
  <c r="S264" i="5"/>
  <c r="S265" i="5"/>
  <c r="S266" i="5"/>
  <c r="S267" i="5"/>
  <c r="S268" i="5"/>
  <c r="S269" i="5"/>
  <c r="S270" i="5"/>
  <c r="S271" i="5"/>
  <c r="S272" i="5"/>
  <c r="S273" i="5"/>
  <c r="S274" i="5"/>
  <c r="S275" i="5"/>
  <c r="S276" i="5"/>
  <c r="S277" i="5"/>
  <c r="S278" i="5"/>
  <c r="S279" i="5"/>
  <c r="S280" i="5"/>
  <c r="S281" i="5"/>
  <c r="S282" i="5"/>
  <c r="S283" i="5"/>
  <c r="S284" i="5"/>
  <c r="S285" i="5"/>
  <c r="S286" i="5"/>
  <c r="S287" i="5"/>
  <c r="S288" i="5"/>
  <c r="S289" i="5"/>
  <c r="S290" i="5"/>
  <c r="S291" i="5"/>
  <c r="S292" i="5"/>
  <c r="S293" i="5"/>
  <c r="S294" i="5"/>
  <c r="S295" i="5"/>
  <c r="S296" i="5"/>
  <c r="S297" i="5"/>
  <c r="S298" i="5"/>
  <c r="S299" i="5"/>
  <c r="S300" i="5"/>
  <c r="S301" i="5"/>
  <c r="S302" i="5"/>
  <c r="S303" i="5"/>
  <c r="S304" i="5"/>
  <c r="S305" i="5"/>
  <c r="S306" i="5"/>
  <c r="S307" i="5"/>
  <c r="S308" i="5"/>
  <c r="S309" i="5"/>
  <c r="S310" i="5"/>
  <c r="S311" i="5"/>
  <c r="S312" i="5"/>
  <c r="S313" i="5"/>
  <c r="S314" i="5"/>
  <c r="S315" i="5"/>
  <c r="S316" i="5"/>
  <c r="S317" i="5"/>
  <c r="S318" i="5"/>
  <c r="S319" i="5"/>
  <c r="S320" i="5"/>
  <c r="S321" i="5"/>
  <c r="S322" i="5"/>
  <c r="S323" i="5"/>
  <c r="S324" i="5"/>
  <c r="S325" i="5"/>
  <c r="S326" i="5"/>
  <c r="S327" i="5"/>
  <c r="S328" i="5"/>
  <c r="S329" i="5"/>
  <c r="S330" i="5"/>
  <c r="S331" i="5"/>
  <c r="S332" i="5"/>
  <c r="S333" i="5"/>
  <c r="S334" i="5"/>
  <c r="S335" i="5"/>
  <c r="S336" i="5"/>
  <c r="S337" i="5"/>
  <c r="S338" i="5"/>
  <c r="S339" i="5"/>
  <c r="S340" i="5"/>
  <c r="S341" i="5"/>
  <c r="S342" i="5"/>
  <c r="S343" i="5"/>
  <c r="S344" i="5"/>
  <c r="S345" i="5"/>
  <c r="S346" i="5"/>
  <c r="S347" i="5"/>
  <c r="S348" i="5"/>
  <c r="S349" i="5"/>
  <c r="S350" i="5"/>
  <c r="S351" i="5"/>
  <c r="S352" i="5"/>
  <c r="S353" i="5"/>
  <c r="S354" i="5"/>
  <c r="S355" i="5"/>
  <c r="S356" i="5"/>
  <c r="S357" i="5"/>
  <c r="S358" i="5"/>
  <c r="S359" i="5"/>
  <c r="S360" i="5"/>
  <c r="S361" i="5"/>
  <c r="S362" i="5"/>
  <c r="S363" i="5"/>
  <c r="S364" i="5"/>
  <c r="S365" i="5"/>
  <c r="S366" i="5"/>
  <c r="S367" i="5"/>
  <c r="S368" i="5"/>
  <c r="S369" i="5"/>
  <c r="S370" i="5"/>
  <c r="S371" i="5"/>
  <c r="S372" i="5"/>
  <c r="S373" i="5"/>
  <c r="S374" i="5"/>
  <c r="S375" i="5"/>
  <c r="S376" i="5"/>
  <c r="S377" i="5"/>
  <c r="S378" i="5"/>
  <c r="S379" i="5"/>
  <c r="S380" i="5"/>
  <c r="S381" i="5"/>
  <c r="S382" i="5"/>
  <c r="S383" i="5"/>
  <c r="S384" i="5"/>
  <c r="S385" i="5"/>
  <c r="S386" i="5"/>
  <c r="S387" i="5"/>
  <c r="S388" i="5"/>
  <c r="S389" i="5"/>
  <c r="S390" i="5"/>
  <c r="S391" i="5"/>
  <c r="S392" i="5"/>
  <c r="S393" i="5"/>
  <c r="S394" i="5"/>
  <c r="S395" i="5"/>
  <c r="S396" i="5"/>
  <c r="S397" i="5"/>
  <c r="S398" i="5"/>
  <c r="S399" i="5"/>
  <c r="S400" i="5"/>
  <c r="S401" i="5"/>
  <c r="S402" i="5"/>
  <c r="S403" i="5"/>
  <c r="S404" i="5"/>
  <c r="S405" i="5"/>
  <c r="S406" i="5"/>
  <c r="S407" i="5"/>
  <c r="S408" i="5"/>
  <c r="S409" i="5"/>
  <c r="S410" i="5"/>
  <c r="S411" i="5"/>
  <c r="S412" i="5"/>
  <c r="S413" i="5"/>
  <c r="S414" i="5"/>
  <c r="S415" i="5"/>
  <c r="S416" i="5"/>
  <c r="S417" i="5"/>
  <c r="S418" i="5"/>
  <c r="S419" i="5"/>
  <c r="S420" i="5"/>
  <c r="S421" i="5"/>
  <c r="S422" i="5"/>
  <c r="S423" i="5"/>
  <c r="S424" i="5"/>
  <c r="S425" i="5"/>
  <c r="S426" i="5"/>
  <c r="S427" i="5"/>
  <c r="S428" i="5"/>
  <c r="S429" i="5"/>
  <c r="S430" i="5"/>
  <c r="S431" i="5"/>
  <c r="S432" i="5"/>
  <c r="S433" i="5"/>
  <c r="S434" i="5"/>
  <c r="S435" i="5"/>
  <c r="S436" i="5"/>
  <c r="S437" i="5"/>
  <c r="S438" i="5"/>
  <c r="S439" i="5"/>
  <c r="S440" i="5"/>
  <c r="S441" i="5"/>
  <c r="S442" i="5"/>
  <c r="S443" i="5"/>
  <c r="S444" i="5"/>
  <c r="S445" i="5"/>
  <c r="S446" i="5"/>
  <c r="S447" i="5"/>
  <c r="S448" i="5"/>
  <c r="S449" i="5"/>
  <c r="S450" i="5"/>
  <c r="S451" i="5"/>
  <c r="S452" i="5"/>
  <c r="S453" i="5"/>
  <c r="S454" i="5"/>
  <c r="S455" i="5"/>
  <c r="S456" i="5"/>
  <c r="S457" i="5"/>
  <c r="S458" i="5"/>
  <c r="S459" i="5"/>
  <c r="S460" i="5"/>
  <c r="S461" i="5"/>
  <c r="S462" i="5"/>
  <c r="S463" i="5"/>
  <c r="S464" i="5"/>
  <c r="S465" i="5"/>
  <c r="S466" i="5"/>
  <c r="S467" i="5"/>
  <c r="S468" i="5"/>
  <c r="S469" i="5"/>
  <c r="S470" i="5"/>
  <c r="S471" i="5"/>
  <c r="S472" i="5"/>
  <c r="S473" i="5"/>
  <c r="S474" i="5"/>
  <c r="S475" i="5"/>
  <c r="S476" i="5"/>
  <c r="S477" i="5"/>
  <c r="S478" i="5"/>
  <c r="S479" i="5"/>
  <c r="S480" i="5"/>
  <c r="S481" i="5"/>
  <c r="S482" i="5"/>
  <c r="S483" i="5"/>
  <c r="S484" i="5"/>
  <c r="S485" i="5"/>
  <c r="S486" i="5"/>
  <c r="S487" i="5"/>
  <c r="S488" i="5"/>
  <c r="S489" i="5"/>
  <c r="S490" i="5"/>
  <c r="S491" i="5"/>
  <c r="S492" i="5"/>
  <c r="S493" i="5"/>
  <c r="S494" i="5"/>
  <c r="S495" i="5"/>
  <c r="S496" i="5"/>
  <c r="S497" i="5"/>
  <c r="S498" i="5"/>
  <c r="S499" i="5"/>
  <c r="S500" i="5"/>
  <c r="S501" i="5"/>
  <c r="S502" i="5"/>
  <c r="S3" i="5"/>
  <c r="S4" i="5"/>
  <c r="S5" i="5"/>
  <c r="S6" i="5"/>
  <c r="S7" i="5"/>
  <c r="S8" i="5"/>
  <c r="S9" i="5"/>
  <c r="S10" i="5"/>
  <c r="S11" i="5"/>
  <c r="S12" i="5"/>
  <c r="S13" i="5"/>
  <c r="S14" i="5"/>
  <c r="S15" i="5"/>
  <c r="S16" i="5"/>
  <c r="S17" i="5"/>
  <c r="S18" i="5"/>
  <c r="S19" i="5"/>
  <c r="S20" i="5"/>
  <c r="S21" i="5"/>
  <c r="S22" i="5"/>
  <c r="S23" i="5"/>
  <c r="S24" i="5"/>
  <c r="S25" i="5"/>
  <c r="S26" i="5"/>
  <c r="S27" i="5"/>
  <c r="S28" i="5"/>
  <c r="S29" i="5"/>
  <c r="S30" i="5"/>
  <c r="S31" i="5"/>
  <c r="S32" i="5"/>
  <c r="S33" i="5"/>
  <c r="S34" i="5"/>
  <c r="S35" i="5"/>
  <c r="S36" i="5"/>
  <c r="S37" i="5"/>
  <c r="S38" i="5"/>
  <c r="S39" i="5"/>
  <c r="S40" i="5"/>
  <c r="S41" i="5"/>
  <c r="S42" i="5"/>
  <c r="S43" i="5"/>
  <c r="S44" i="5"/>
  <c r="S45" i="5"/>
  <c r="S46" i="5"/>
  <c r="S47" i="5"/>
  <c r="S48" i="5"/>
  <c r="S49" i="5"/>
  <c r="S50" i="5"/>
  <c r="S51" i="5"/>
  <c r="S52" i="5"/>
  <c r="S53" i="5"/>
  <c r="S54" i="5"/>
  <c r="S55" i="5"/>
  <c r="S56" i="5"/>
  <c r="S57" i="5"/>
  <c r="S58" i="5"/>
  <c r="S59" i="5"/>
  <c r="S60" i="5"/>
  <c r="S61" i="5"/>
  <c r="S62" i="5"/>
  <c r="S63" i="5"/>
  <c r="S64" i="5"/>
  <c r="S65" i="5"/>
  <c r="S66" i="5"/>
  <c r="S67" i="5"/>
  <c r="S68" i="5"/>
  <c r="S69" i="5"/>
  <c r="S70" i="5"/>
  <c r="S71" i="5"/>
  <c r="S72" i="5"/>
  <c r="S73" i="5"/>
  <c r="S74" i="5"/>
  <c r="S75" i="5"/>
  <c r="S76" i="5"/>
  <c r="S77" i="5"/>
  <c r="S78" i="5"/>
  <c r="S79" i="5"/>
  <c r="S80" i="5"/>
  <c r="S81" i="5"/>
  <c r="S82" i="5"/>
  <c r="S83" i="5"/>
  <c r="S84" i="5"/>
  <c r="S85" i="5"/>
  <c r="S86" i="5"/>
  <c r="S87" i="5"/>
  <c r="S88" i="5"/>
  <c r="S89" i="5"/>
  <c r="S90" i="5"/>
  <c r="S91" i="5"/>
  <c r="S92" i="5"/>
  <c r="S93" i="5"/>
  <c r="S94" i="5"/>
  <c r="S95" i="5"/>
  <c r="S96" i="5"/>
  <c r="S97" i="5"/>
  <c r="S98" i="5"/>
  <c r="S99" i="5"/>
  <c r="S100" i="5"/>
  <c r="S101" i="5"/>
  <c r="S102" i="5"/>
  <c r="G53" i="11" l="1"/>
  <c r="G57" i="11"/>
  <c r="G61" i="11"/>
  <c r="G65" i="11"/>
  <c r="G69" i="11"/>
  <c r="G73" i="11"/>
  <c r="G77" i="11"/>
  <c r="G81" i="11"/>
  <c r="G85" i="11"/>
  <c r="G89" i="11"/>
  <c r="G93" i="11"/>
  <c r="G97" i="11"/>
  <c r="G101" i="11"/>
  <c r="G54" i="11"/>
  <c r="G62" i="11"/>
  <c r="G70" i="11"/>
  <c r="G78" i="11"/>
  <c r="G86" i="11"/>
  <c r="G94" i="11"/>
  <c r="G102" i="11"/>
  <c r="G55" i="11"/>
  <c r="G59" i="11"/>
  <c r="G63" i="11"/>
  <c r="G67" i="11"/>
  <c r="G71" i="11"/>
  <c r="G75" i="11"/>
  <c r="G79" i="11"/>
  <c r="G83" i="11"/>
  <c r="G87" i="11"/>
  <c r="G91" i="11"/>
  <c r="G95" i="11"/>
  <c r="G99" i="11"/>
  <c r="G56" i="11"/>
  <c r="G60" i="11"/>
  <c r="G64" i="11"/>
  <c r="G68" i="11"/>
  <c r="G72" i="11"/>
  <c r="G76" i="11"/>
  <c r="G80" i="11"/>
  <c r="G84" i="11"/>
  <c r="G88" i="11"/>
  <c r="G92" i="11"/>
  <c r="G96" i="11"/>
  <c r="G100" i="11"/>
  <c r="G90" i="11"/>
  <c r="G74" i="11"/>
  <c r="G66" i="11"/>
  <c r="G98" i="11"/>
  <c r="G82" i="11"/>
  <c r="G58" i="11"/>
  <c r="C9" i="5"/>
  <c r="C8" i="5"/>
  <c r="H2" i="8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38" i="9"/>
  <c r="F39" i="9"/>
  <c r="F40" i="9"/>
  <c r="F41" i="9"/>
  <c r="F42" i="9"/>
  <c r="F43" i="9"/>
  <c r="F44" i="9"/>
  <c r="F45" i="9"/>
  <c r="F46" i="9"/>
  <c r="F47" i="9"/>
  <c r="F48" i="9"/>
  <c r="F49" i="9"/>
  <c r="F50" i="9"/>
  <c r="F51" i="9"/>
  <c r="F52" i="9"/>
  <c r="F53" i="9"/>
  <c r="F54" i="9"/>
  <c r="F55" i="9"/>
  <c r="F56" i="9"/>
  <c r="F57" i="9"/>
  <c r="F58" i="9"/>
  <c r="F59" i="9"/>
  <c r="F60" i="9"/>
  <c r="F61" i="9"/>
  <c r="F62" i="9"/>
  <c r="F63" i="9"/>
  <c r="F64" i="9"/>
  <c r="F65" i="9"/>
  <c r="F66" i="9"/>
  <c r="F67" i="9"/>
  <c r="F68" i="9"/>
  <c r="F69" i="9"/>
  <c r="F70" i="9"/>
  <c r="F71" i="9"/>
  <c r="F72" i="9"/>
  <c r="F73" i="9"/>
  <c r="F74" i="9"/>
  <c r="F75" i="9"/>
  <c r="F76" i="9"/>
  <c r="F77" i="9"/>
  <c r="F78" i="9"/>
  <c r="F79" i="9"/>
  <c r="F80" i="9"/>
  <c r="F81" i="9"/>
  <c r="F82" i="9"/>
  <c r="F83" i="9"/>
  <c r="F84" i="9"/>
  <c r="F85" i="9"/>
  <c r="F86" i="9"/>
  <c r="F87" i="9"/>
  <c r="F88" i="9"/>
  <c r="F89" i="9"/>
  <c r="F90" i="9"/>
  <c r="F91" i="9"/>
  <c r="F92" i="9"/>
  <c r="F93" i="9"/>
  <c r="F94" i="9"/>
  <c r="F95" i="9"/>
  <c r="F96" i="9"/>
  <c r="F97" i="9"/>
  <c r="F98" i="9"/>
  <c r="F99" i="9"/>
  <c r="F100" i="9"/>
  <c r="F101" i="9"/>
  <c r="F102" i="9"/>
  <c r="F5" i="9"/>
  <c r="F6" i="9"/>
  <c r="F4" i="9"/>
  <c r="F3" i="9"/>
  <c r="H2" i="9"/>
  <c r="H2" i="6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3" i="8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3" i="6"/>
  <c r="H2" i="5" l="1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3" i="5"/>
  <c r="H2" i="4"/>
  <c r="H2" i="2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3" i="4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3" i="2"/>
  <c r="J3" i="1"/>
  <c r="C4" i="1"/>
  <c r="F102" i="1"/>
  <c r="H102" i="1" s="1"/>
  <c r="F90" i="1"/>
  <c r="G90" i="1" s="1"/>
  <c r="F91" i="1"/>
  <c r="G91" i="1" s="1"/>
  <c r="F92" i="1"/>
  <c r="G92" i="1" s="1"/>
  <c r="F93" i="1"/>
  <c r="G93" i="1" s="1"/>
  <c r="F94" i="1"/>
  <c r="G94" i="1" s="1"/>
  <c r="F95" i="1"/>
  <c r="G95" i="1" s="1"/>
  <c r="F96" i="1"/>
  <c r="G96" i="1" s="1"/>
  <c r="F97" i="1"/>
  <c r="G97" i="1" s="1"/>
  <c r="F98" i="1"/>
  <c r="G98" i="1" s="1"/>
  <c r="F99" i="1"/>
  <c r="G99" i="1" s="1"/>
  <c r="F100" i="1"/>
  <c r="G100" i="1" s="1"/>
  <c r="F101" i="1"/>
  <c r="G101" i="1" s="1"/>
  <c r="F87" i="1"/>
  <c r="G87" i="1" s="1"/>
  <c r="F88" i="1"/>
  <c r="G88" i="1" s="1"/>
  <c r="F89" i="1"/>
  <c r="H89" i="1" s="1"/>
  <c r="F73" i="1"/>
  <c r="H73" i="1" s="1"/>
  <c r="F74" i="1"/>
  <c r="G74" i="1" s="1"/>
  <c r="F75" i="1"/>
  <c r="H75" i="1" s="1"/>
  <c r="F76" i="1"/>
  <c r="G76" i="1" s="1"/>
  <c r="F77" i="1"/>
  <c r="H77" i="1" s="1"/>
  <c r="F78" i="1"/>
  <c r="G78" i="1" s="1"/>
  <c r="F79" i="1"/>
  <c r="H79" i="1" s="1"/>
  <c r="F80" i="1"/>
  <c r="G80" i="1" s="1"/>
  <c r="F81" i="1"/>
  <c r="H81" i="1" s="1"/>
  <c r="F82" i="1"/>
  <c r="G82" i="1" s="1"/>
  <c r="F83" i="1"/>
  <c r="G83" i="1" s="1"/>
  <c r="F84" i="1"/>
  <c r="G84" i="1" s="1"/>
  <c r="F85" i="1"/>
  <c r="H85" i="1" s="1"/>
  <c r="F86" i="1"/>
  <c r="G86" i="1" s="1"/>
  <c r="F56" i="1"/>
  <c r="H56" i="1" s="1"/>
  <c r="F57" i="1"/>
  <c r="G57" i="1" s="1"/>
  <c r="F58" i="1"/>
  <c r="H58" i="1" s="1"/>
  <c r="F59" i="1"/>
  <c r="G59" i="1" s="1"/>
  <c r="F60" i="1"/>
  <c r="H60" i="1" s="1"/>
  <c r="F61" i="1"/>
  <c r="G61" i="1" s="1"/>
  <c r="F62" i="1"/>
  <c r="G62" i="1" s="1"/>
  <c r="F63" i="1"/>
  <c r="G63" i="1" s="1"/>
  <c r="F64" i="1"/>
  <c r="H64" i="1" s="1"/>
  <c r="F65" i="1"/>
  <c r="G65" i="1" s="1"/>
  <c r="F66" i="1"/>
  <c r="G66" i="1" s="1"/>
  <c r="F67" i="1"/>
  <c r="G67" i="1" s="1"/>
  <c r="F68" i="1"/>
  <c r="G68" i="1" s="1"/>
  <c r="F69" i="1"/>
  <c r="G69" i="1" s="1"/>
  <c r="F70" i="1"/>
  <c r="G70" i="1" s="1"/>
  <c r="F71" i="1"/>
  <c r="G71" i="1" s="1"/>
  <c r="F72" i="1"/>
  <c r="H72" i="1" s="1"/>
  <c r="F41" i="1"/>
  <c r="H41" i="1" s="1"/>
  <c r="F42" i="1"/>
  <c r="G42" i="1" s="1"/>
  <c r="F43" i="1"/>
  <c r="H43" i="1" s="1"/>
  <c r="F44" i="1"/>
  <c r="G44" i="1" s="1"/>
  <c r="F45" i="1"/>
  <c r="H45" i="1" s="1"/>
  <c r="F46" i="1"/>
  <c r="G46" i="1" s="1"/>
  <c r="F47" i="1"/>
  <c r="H47" i="1" s="1"/>
  <c r="F48" i="1"/>
  <c r="G48" i="1" s="1"/>
  <c r="F49" i="1"/>
  <c r="H49" i="1" s="1"/>
  <c r="F50" i="1"/>
  <c r="H50" i="1" s="1"/>
  <c r="F51" i="1"/>
  <c r="G51" i="1" s="1"/>
  <c r="F52" i="1"/>
  <c r="G52" i="1" s="1"/>
  <c r="F53" i="1"/>
  <c r="H53" i="1" s="1"/>
  <c r="F54" i="1"/>
  <c r="G54" i="1" s="1"/>
  <c r="F55" i="1"/>
  <c r="G55" i="1" s="1"/>
  <c r="F13" i="1"/>
  <c r="G13" i="1" s="1"/>
  <c r="F14" i="1"/>
  <c r="G14" i="1" s="1"/>
  <c r="F15" i="1"/>
  <c r="H15" i="1" s="1"/>
  <c r="F16" i="1"/>
  <c r="G16" i="1" s="1"/>
  <c r="F17" i="1"/>
  <c r="G17" i="1" s="1"/>
  <c r="F18" i="1"/>
  <c r="G18" i="1" s="1"/>
  <c r="F19" i="1"/>
  <c r="H19" i="1" s="1"/>
  <c r="F20" i="1"/>
  <c r="G20" i="1" s="1"/>
  <c r="F21" i="1"/>
  <c r="G21" i="1" s="1"/>
  <c r="F22" i="1"/>
  <c r="G22" i="1" s="1"/>
  <c r="F23" i="1"/>
  <c r="H23" i="1" s="1"/>
  <c r="F24" i="1"/>
  <c r="G24" i="1" s="1"/>
  <c r="F25" i="1"/>
  <c r="G25" i="1" s="1"/>
  <c r="F26" i="1"/>
  <c r="G26" i="1" s="1"/>
  <c r="F27" i="1"/>
  <c r="G27" i="1" s="1"/>
  <c r="F28" i="1"/>
  <c r="H28" i="1" s="1"/>
  <c r="F29" i="1"/>
  <c r="G29" i="1" s="1"/>
  <c r="F30" i="1"/>
  <c r="G30" i="1" s="1"/>
  <c r="F31" i="1"/>
  <c r="H31" i="1" s="1"/>
  <c r="F32" i="1"/>
  <c r="G32" i="1" s="1"/>
  <c r="F33" i="1"/>
  <c r="G33" i="1" s="1"/>
  <c r="F34" i="1"/>
  <c r="G34" i="1" s="1"/>
  <c r="F35" i="1"/>
  <c r="H35" i="1" s="1"/>
  <c r="F36" i="1"/>
  <c r="G36" i="1" s="1"/>
  <c r="F37" i="1"/>
  <c r="H37" i="1" s="1"/>
  <c r="F38" i="1"/>
  <c r="G38" i="1" s="1"/>
  <c r="F39" i="1"/>
  <c r="H39" i="1" s="1"/>
  <c r="F40" i="1"/>
  <c r="G40" i="1" s="1"/>
  <c r="F4" i="1"/>
  <c r="G4" i="1" s="1"/>
  <c r="F5" i="1"/>
  <c r="H5" i="1" s="1"/>
  <c r="F6" i="1"/>
  <c r="G6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3" i="1"/>
  <c r="H3" i="1" s="1"/>
  <c r="G43" i="1" l="1"/>
  <c r="G77" i="1"/>
  <c r="G58" i="1"/>
  <c r="H93" i="1"/>
  <c r="H96" i="1"/>
  <c r="H92" i="1"/>
  <c r="H101" i="1"/>
  <c r="G102" i="1"/>
  <c r="H97" i="1"/>
  <c r="H100" i="1"/>
  <c r="H94" i="1"/>
  <c r="H83" i="1"/>
  <c r="H24" i="1"/>
  <c r="G41" i="1"/>
  <c r="G79" i="1"/>
  <c r="G72" i="1"/>
  <c r="G50" i="1"/>
  <c r="H71" i="1"/>
  <c r="H82" i="1"/>
  <c r="G35" i="1"/>
  <c r="G49" i="1"/>
  <c r="H62" i="1"/>
  <c r="H57" i="1"/>
  <c r="H99" i="1"/>
  <c r="H91" i="1"/>
  <c r="H98" i="1"/>
  <c r="H90" i="1"/>
  <c r="H80" i="1"/>
  <c r="H95" i="1"/>
  <c r="G37" i="1"/>
  <c r="G19" i="1"/>
  <c r="H42" i="1"/>
  <c r="G64" i="1"/>
  <c r="G60" i="1"/>
  <c r="G56" i="1"/>
  <c r="G75" i="1"/>
  <c r="G89" i="1"/>
  <c r="H68" i="1"/>
  <c r="H74" i="1"/>
  <c r="H88" i="1"/>
  <c r="G85" i="1"/>
  <c r="G81" i="1"/>
  <c r="G73" i="1"/>
  <c r="H87" i="1"/>
  <c r="G45" i="1"/>
  <c r="H65" i="1"/>
  <c r="H84" i="1"/>
  <c r="H76" i="1"/>
  <c r="H40" i="1"/>
  <c r="H29" i="1"/>
  <c r="H17" i="1"/>
  <c r="G47" i="1"/>
  <c r="H63" i="1"/>
  <c r="H70" i="1"/>
  <c r="H66" i="1"/>
  <c r="H86" i="1"/>
  <c r="H78" i="1"/>
  <c r="G39" i="1"/>
  <c r="H46" i="1"/>
  <c r="H25" i="1"/>
  <c r="G53" i="1"/>
  <c r="H55" i="1"/>
  <c r="H51" i="1"/>
  <c r="H67" i="1"/>
  <c r="H59" i="1"/>
  <c r="H33" i="1"/>
  <c r="G28" i="1"/>
  <c r="G23" i="1"/>
  <c r="H69" i="1"/>
  <c r="H61" i="1"/>
  <c r="H54" i="1"/>
  <c r="H27" i="1"/>
  <c r="H48" i="1"/>
  <c r="H36" i="1"/>
  <c r="H20" i="1"/>
  <c r="H52" i="1"/>
  <c r="H44" i="1"/>
  <c r="H32" i="1"/>
  <c r="H16" i="1"/>
  <c r="G31" i="1"/>
  <c r="G15" i="1"/>
  <c r="H38" i="1"/>
  <c r="H30" i="1"/>
  <c r="H22" i="1"/>
  <c r="H14" i="1"/>
  <c r="H21" i="1"/>
  <c r="H13" i="1"/>
  <c r="H34" i="1"/>
  <c r="H26" i="1"/>
  <c r="H18" i="1"/>
  <c r="H4" i="1"/>
  <c r="H11" i="1"/>
  <c r="H12" i="1"/>
  <c r="H9" i="1"/>
  <c r="H8" i="1"/>
  <c r="H10" i="1"/>
  <c r="H7" i="1"/>
  <c r="H6" i="1"/>
  <c r="G5" i="1"/>
  <c r="G3" i="1"/>
  <c r="C9" i="1" l="1"/>
  <c r="C8" i="1"/>
</calcChain>
</file>

<file path=xl/sharedStrings.xml><?xml version="1.0" encoding="utf-8"?>
<sst xmlns="http://schemas.openxmlformats.org/spreadsheetml/2006/main" count="94" uniqueCount="37">
  <si>
    <t>randn()</t>
  </si>
  <si>
    <t>1 if rand() &lt; p</t>
  </si>
  <si>
    <t>1 if rand() &gt; p</t>
  </si>
  <si>
    <t>trial</t>
  </si>
  <si>
    <t>success</t>
  </si>
  <si>
    <t>failure (0)</t>
  </si>
  <si>
    <t>success (1)</t>
  </si>
  <si>
    <t>failure</t>
  </si>
  <si>
    <t># successes</t>
  </si>
  <si>
    <t>Parameter</t>
  </si>
  <si>
    <t>Value</t>
  </si>
  <si>
    <t>Result</t>
  </si>
  <si>
    <t>Count</t>
  </si>
  <si>
    <t>mu (avg)</t>
  </si>
  <si>
    <t>sigma (stdev)</t>
  </si>
  <si>
    <t>lambda (avg)</t>
  </si>
  <si>
    <t>p (success prob.)</t>
  </si>
  <si>
    <t>n (number trials)</t>
  </si>
  <si>
    <t>q (failure prob.)</t>
  </si>
  <si>
    <t>d.f.</t>
  </si>
  <si>
    <t>prob.</t>
  </si>
  <si>
    <t>d.f. 1</t>
  </si>
  <si>
    <t>d.f. 2</t>
  </si>
  <si>
    <t>avg rate</t>
  </si>
  <si>
    <t>x</t>
  </si>
  <si>
    <t>sample</t>
  </si>
  <si>
    <t>result</t>
  </si>
  <si>
    <t>truncated</t>
  </si>
  <si>
    <t>Parameters</t>
  </si>
  <si>
    <t>Normal</t>
  </si>
  <si>
    <t>Poisson</t>
  </si>
  <si>
    <t>Binomial</t>
  </si>
  <si>
    <t>mu (mean)</t>
  </si>
  <si>
    <t>Expected Value</t>
  </si>
  <si>
    <t>lambda</t>
  </si>
  <si>
    <t>n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</si>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</sst>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.0000_);_(* \(#,##0.0000\);_(* &quot;-&quot;??_);_(@_)"/>
    <numFmt numFmtId="165" formatCode="0.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2" borderId="1" applyNumberFormat="0" applyAlignment="0" applyProtection="0"/>
  </cellStyleXfs>
  <cellXfs count="22">
    <xf numFmtId="0" fontId="0" fillId="0" borderId="0" xfId="0"/>
    <xf numFmtId="0" fontId="0" fillId="0" borderId="0" xfId="0" applyAlignment="1">
      <alignment horizontal="left"/>
    </xf>
    <xf numFmtId="164" fontId="0" fillId="0" borderId="0" xfId="1" applyNumberFormat="1" applyFont="1" applyAlignment="1">
      <alignment horizontal="center"/>
    </xf>
    <xf numFmtId="0" fontId="0" fillId="0" borderId="0" xfId="0" applyAlignment="1">
      <alignment horizontal="center"/>
    </xf>
    <xf numFmtId="0" fontId="2" fillId="2" borderId="1" xfId="2" applyAlignment="1">
      <alignment horizontal="left"/>
    </xf>
    <xf numFmtId="0" fontId="3" fillId="3" borderId="0" xfId="0" applyFont="1" applyFill="1" applyAlignment="1">
      <alignment horizontal="left"/>
    </xf>
    <xf numFmtId="0" fontId="3" fillId="3" borderId="0" xfId="0" applyFont="1" applyFill="1" applyAlignment="1">
      <alignment horizontal="center"/>
    </xf>
    <xf numFmtId="43" fontId="0" fillId="0" borderId="0" xfId="1" applyFont="1" applyAlignment="1">
      <alignment horizontal="center"/>
    </xf>
    <xf numFmtId="43" fontId="3" fillId="3" borderId="0" xfId="1" applyFont="1" applyFill="1" applyAlignment="1">
      <alignment horizontal="center"/>
    </xf>
    <xf numFmtId="2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43" fontId="0" fillId="0" borderId="0" xfId="0" applyNumberFormat="1" applyAlignment="1">
      <alignment horizontal="left"/>
    </xf>
    <xf numFmtId="165" fontId="0" fillId="0" borderId="0" xfId="1" applyNumberFormat="1" applyFont="1" applyAlignment="1">
      <alignment horizontal="center"/>
    </xf>
    <xf numFmtId="0" fontId="2" fillId="2" borderId="1" xfId="2" applyAlignment="1">
      <alignment horizontal="center"/>
    </xf>
    <xf numFmtId="0" fontId="4" fillId="4" borderId="0" xfId="0" applyFont="1" applyFill="1" applyAlignment="1">
      <alignment horizontal="left"/>
    </xf>
    <xf numFmtId="43" fontId="4" fillId="3" borderId="0" xfId="1" applyFont="1" applyFill="1" applyAlignment="1">
      <alignment horizontal="center"/>
    </xf>
    <xf numFmtId="0" fontId="5" fillId="0" borderId="0" xfId="0" applyFont="1"/>
    <xf numFmtId="43" fontId="0" fillId="0" borderId="0" xfId="1" applyFont="1"/>
    <xf numFmtId="2" fontId="0" fillId="0" borderId="0" xfId="1" applyNumberFormat="1" applyFont="1" applyAlignment="1">
      <alignment horizontal="center"/>
    </xf>
    <xf numFmtId="0" fontId="4" fillId="3" borderId="0" xfId="0" applyFont="1" applyFill="1" applyAlignment="1">
      <alignment horizontal="left"/>
    </xf>
    <xf numFmtId="0" fontId="4" fillId="3" borderId="0" xfId="0" applyFont="1" applyFill="1" applyAlignment="1">
      <alignment horizontal="center"/>
    </xf>
    <xf numFmtId="0" fontId="0" fillId="0" borderId="0" xfId="1" applyNumberFormat="1" applyFont="1"/>
  </cellXfs>
  <cellStyles count="3">
    <cellStyle name="Comma" xfId="1" builtinId="3"/>
    <cellStyle name="Input" xfId="2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'expected value'!$G$14</c:f>
          <c:strCache>
            <c:ptCount val="1"/>
            <c:pt idx="0">
              <c:v>Poisson - mean = 5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'expected value'!$B$50:$B$90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cat>
          <c:val>
            <c:numRef>
              <c:f>'expected value'!$D$50:$D$90</c:f>
              <c:numCache>
                <c:formatCode>_(* #,##0.00_);_(* \(#,##0.00\);_(* "-"??_);_(@_)</c:formatCode>
                <c:ptCount val="41"/>
                <c:pt idx="0">
                  <c:v>6.737946999085467E-3</c:v>
                </c:pt>
                <c:pt idx="1">
                  <c:v>3.368973499542733E-2</c:v>
                </c:pt>
                <c:pt idx="2">
                  <c:v>8.4224337488568335E-2</c:v>
                </c:pt>
                <c:pt idx="3">
                  <c:v>0.14037389581428059</c:v>
                </c:pt>
                <c:pt idx="4">
                  <c:v>0.17546736976785074</c:v>
                </c:pt>
                <c:pt idx="5">
                  <c:v>0.17546736976785071</c:v>
                </c:pt>
                <c:pt idx="6">
                  <c:v>0.14622280813987559</c:v>
                </c:pt>
                <c:pt idx="7">
                  <c:v>0.104444862957054</c:v>
                </c:pt>
                <c:pt idx="8">
                  <c:v>6.5278039348158706E-2</c:v>
                </c:pt>
                <c:pt idx="9">
                  <c:v>3.6265577415643749E-2</c:v>
                </c:pt>
                <c:pt idx="10">
                  <c:v>1.8132788707821874E-2</c:v>
                </c:pt>
                <c:pt idx="11">
                  <c:v>8.2421766853735742E-3</c:v>
                </c:pt>
                <c:pt idx="12">
                  <c:v>3.4342402855723282E-3</c:v>
                </c:pt>
                <c:pt idx="13">
                  <c:v>1.3208616482970471E-3</c:v>
                </c:pt>
                <c:pt idx="14">
                  <c:v>4.7173630296323246E-4</c:v>
                </c:pt>
                <c:pt idx="15">
                  <c:v>1.5724543432107704E-4</c:v>
                </c:pt>
                <c:pt idx="16">
                  <c:v>4.9139198225336609E-5</c:v>
                </c:pt>
                <c:pt idx="17">
                  <c:v>1.4452705360393124E-5</c:v>
                </c:pt>
                <c:pt idx="18">
                  <c:v>4.0146403778869831E-6</c:v>
                </c:pt>
                <c:pt idx="19">
                  <c:v>1.0564843099702586E-6</c:v>
                </c:pt>
                <c:pt idx="20">
                  <c:v>2.6412107749256427E-7</c:v>
                </c:pt>
                <c:pt idx="21">
                  <c:v>6.2885970831562693E-8</c:v>
                </c:pt>
                <c:pt idx="22">
                  <c:v>1.4292266098082472E-8</c:v>
                </c:pt>
                <c:pt idx="23">
                  <c:v>3.1070143691483715E-9</c:v>
                </c:pt>
                <c:pt idx="24">
                  <c:v>6.4729466023924485E-10</c:v>
                </c:pt>
                <c:pt idx="25">
                  <c:v>1.2945893204784874E-10</c:v>
                </c:pt>
                <c:pt idx="26">
                  <c:v>2.4895948470740127E-11</c:v>
                </c:pt>
                <c:pt idx="27">
                  <c:v>4.6103608279148155E-12</c:v>
                </c:pt>
                <c:pt idx="28">
                  <c:v>8.2327871927050559E-13</c:v>
                </c:pt>
                <c:pt idx="29">
                  <c:v>1.419446067707773E-13</c:v>
                </c:pt>
                <c:pt idx="30">
                  <c:v>2.3657434461796165E-14</c:v>
                </c:pt>
                <c:pt idx="31">
                  <c:v>3.8157152357735622E-15</c:v>
                </c:pt>
                <c:pt idx="32">
                  <c:v>5.9620550558961939E-16</c:v>
                </c:pt>
                <c:pt idx="33">
                  <c:v>9.0334167513579496E-17</c:v>
                </c:pt>
                <c:pt idx="34">
                  <c:v>1.3284436399055676E-17</c:v>
                </c:pt>
                <c:pt idx="35">
                  <c:v>1.8977766284365282E-18</c:v>
                </c:pt>
                <c:pt idx="36">
                  <c:v>2.6358008728285044E-19</c:v>
                </c:pt>
                <c:pt idx="37">
                  <c:v>3.5618930713898303E-20</c:v>
                </c:pt>
                <c:pt idx="38">
                  <c:v>4.6867014097235461E-21</c:v>
                </c:pt>
                <c:pt idx="39">
                  <c:v>6.0085915509275958E-22</c:v>
                </c:pt>
                <c:pt idx="40">
                  <c:v>7.5107394386595207E-23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B7-4B4C-AE9A-A1305E0A24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93600080"/>
        <c:axId val="1193583280"/>
      </c:barChart>
      <c:catAx>
        <c:axId val="1193600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3583280"/>
        <c:crosses val="autoZero"/>
        <c:auto val="1"/>
        <c:lblAlgn val="ctr"/>
        <c:lblOffset val="100"/>
        <c:noMultiLvlLbl val="0"/>
      </c:catAx>
      <c:valAx>
        <c:axId val="1193583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3600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'expected value'!$G$15</c:f>
          <c:strCache>
            <c:ptCount val="1"/>
            <c:pt idx="0">
              <c:v>Binomial - n = 100 p = 0.15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'expected value'!$B$50:$B$90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cat>
          <c:val>
            <c:numRef>
              <c:f>'expected value'!$E$50:$E$90</c:f>
              <c:numCache>
                <c:formatCode>_(* #,##0.00_);_(* \(#,##0.00\);_(* "-"??_);_(@_)</c:formatCode>
                <c:ptCount val="41"/>
                <c:pt idx="0">
                  <c:v>8.7476736301086376E-8</c:v>
                </c:pt>
                <c:pt idx="1">
                  <c:v>1.5437071111956413E-6</c:v>
                </c:pt>
                <c:pt idx="2">
                  <c:v>1.3484735647797155E-5</c:v>
                </c:pt>
                <c:pt idx="3">
                  <c:v>7.7735534910830785E-5</c:v>
                </c:pt>
                <c:pt idx="4">
                  <c:v>3.3266236263311397E-4</c:v>
                </c:pt>
                <c:pt idx="5">
                  <c:v>1.1271383580980841E-3</c:v>
                </c:pt>
                <c:pt idx="6">
                  <c:v>3.1493571770387571E-3</c:v>
                </c:pt>
                <c:pt idx="7">
                  <c:v>7.4631825539909977E-3</c:v>
                </c:pt>
                <c:pt idx="8">
                  <c:v>1.5310499504143323E-2</c:v>
                </c:pt>
                <c:pt idx="9">
                  <c:v>2.7618940281984024E-2</c:v>
                </c:pt>
                <c:pt idx="10">
                  <c:v>4.435276880577433E-2</c:v>
                </c:pt>
                <c:pt idx="11">
                  <c:v>6.4038757099246349E-2</c:v>
                </c:pt>
                <c:pt idx="12">
                  <c:v>8.3815432085778338E-2</c:v>
                </c:pt>
                <c:pt idx="13">
                  <c:v>0.10012341208436869</c:v>
                </c:pt>
                <c:pt idx="14">
                  <c:v>0.10979920400848836</c:v>
                </c:pt>
                <c:pt idx="15">
                  <c:v>0.11109095934976466</c:v>
                </c:pt>
                <c:pt idx="16">
                  <c:v>0.1041477743904044</c:v>
                </c:pt>
                <c:pt idx="17">
                  <c:v>9.0813976285058454E-2</c:v>
                </c:pt>
                <c:pt idx="18">
                  <c:v>7.3897647369214309E-2</c:v>
                </c:pt>
                <c:pt idx="19">
                  <c:v>5.6281180349308686E-2</c:v>
                </c:pt>
                <c:pt idx="20">
                  <c:v>4.02244906614177E-2</c:v>
                </c:pt>
                <c:pt idx="21">
                  <c:v>2.7041674394230383E-2</c:v>
                </c:pt>
                <c:pt idx="22">
                  <c:v>1.7136034308643307E-2</c:v>
                </c:pt>
                <c:pt idx="23">
                  <c:v>1.0255324880364536E-2</c:v>
                </c:pt>
                <c:pt idx="24">
                  <c:v>5.8063236455004989E-3</c:v>
                </c:pt>
                <c:pt idx="25">
                  <c:v>3.114921861586158E-3</c:v>
                </c:pt>
                <c:pt idx="26">
                  <c:v>1.5856502689069816E-3</c:v>
                </c:pt>
                <c:pt idx="27">
                  <c:v>7.6691581633409327E-4</c:v>
                </c:pt>
                <c:pt idx="28">
                  <c:v>3.5284572222093856E-4</c:v>
                </c:pt>
                <c:pt idx="29">
                  <c:v>1.5459366328544172E-4</c:v>
                </c:pt>
                <c:pt idx="30">
                  <c:v>6.4565588783919653E-5</c:v>
                </c:pt>
                <c:pt idx="31">
                  <c:v>2.5728223234578851E-5</c:v>
                </c:pt>
                <c:pt idx="32">
                  <c:v>9.7899672969813413E-6</c:v>
                </c:pt>
                <c:pt idx="33">
                  <c:v>3.5599881079932168E-6</c:v>
                </c:pt>
                <c:pt idx="34">
                  <c:v>1.2379889441291354E-6</c:v>
                </c:pt>
                <c:pt idx="35">
                  <c:v>4.1196943014717197E-7</c:v>
                </c:pt>
                <c:pt idx="36">
                  <c:v>1.3126476940963859E-7</c:v>
                </c:pt>
                <c:pt idx="37">
                  <c:v>4.0068101314229789E-8</c:v>
                </c:pt>
                <c:pt idx="38">
                  <c:v>1.1722710756020794E-8</c:v>
                </c:pt>
                <c:pt idx="39">
                  <c:v>3.2887242844945163E-9</c:v>
                </c:pt>
                <c:pt idx="40">
                  <c:v>8.850537412683858E-10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50-4686-AE8A-EF83E00288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93600080"/>
        <c:axId val="1193583280"/>
      </c:barChart>
      <c:catAx>
        <c:axId val="1193600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3583280"/>
        <c:crosses val="autoZero"/>
        <c:auto val="1"/>
        <c:lblAlgn val="ctr"/>
        <c:lblOffset val="100"/>
        <c:noMultiLvlLbl val="0"/>
      </c:catAx>
      <c:valAx>
        <c:axId val="1193583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3600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'expected value'!$G$13</c:f>
          <c:strCache>
            <c:ptCount val="1"/>
            <c:pt idx="0">
              <c:v>Normal/Gaussian - mean = 0, stdev = 10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'expected value'!$B$10:$B$90</c:f>
              <c:numCache>
                <c:formatCode>General</c:formatCode>
                <c:ptCount val="81"/>
                <c:pt idx="0">
                  <c:v>-40</c:v>
                </c:pt>
                <c:pt idx="1">
                  <c:v>-39</c:v>
                </c:pt>
                <c:pt idx="2">
                  <c:v>-38</c:v>
                </c:pt>
                <c:pt idx="3">
                  <c:v>-37</c:v>
                </c:pt>
                <c:pt idx="4">
                  <c:v>-36</c:v>
                </c:pt>
                <c:pt idx="5">
                  <c:v>-35</c:v>
                </c:pt>
                <c:pt idx="6">
                  <c:v>-34</c:v>
                </c:pt>
                <c:pt idx="7">
                  <c:v>-33</c:v>
                </c:pt>
                <c:pt idx="8">
                  <c:v>-32</c:v>
                </c:pt>
                <c:pt idx="9">
                  <c:v>-31</c:v>
                </c:pt>
                <c:pt idx="10">
                  <c:v>-30</c:v>
                </c:pt>
                <c:pt idx="11">
                  <c:v>-29</c:v>
                </c:pt>
                <c:pt idx="12">
                  <c:v>-28</c:v>
                </c:pt>
                <c:pt idx="13">
                  <c:v>-27</c:v>
                </c:pt>
                <c:pt idx="14">
                  <c:v>-26</c:v>
                </c:pt>
                <c:pt idx="15">
                  <c:v>-25</c:v>
                </c:pt>
                <c:pt idx="16">
                  <c:v>-24</c:v>
                </c:pt>
                <c:pt idx="17">
                  <c:v>-23</c:v>
                </c:pt>
                <c:pt idx="18">
                  <c:v>-22</c:v>
                </c:pt>
                <c:pt idx="19">
                  <c:v>-21</c:v>
                </c:pt>
                <c:pt idx="20">
                  <c:v>-20</c:v>
                </c:pt>
                <c:pt idx="21">
                  <c:v>-19</c:v>
                </c:pt>
                <c:pt idx="22">
                  <c:v>-18</c:v>
                </c:pt>
                <c:pt idx="23">
                  <c:v>-17</c:v>
                </c:pt>
                <c:pt idx="24">
                  <c:v>-16</c:v>
                </c:pt>
                <c:pt idx="25">
                  <c:v>-15</c:v>
                </c:pt>
                <c:pt idx="26">
                  <c:v>-14</c:v>
                </c:pt>
                <c:pt idx="27">
                  <c:v>-13</c:v>
                </c:pt>
                <c:pt idx="28">
                  <c:v>-12</c:v>
                </c:pt>
                <c:pt idx="29">
                  <c:v>-11</c:v>
                </c:pt>
                <c:pt idx="30">
                  <c:v>-10</c:v>
                </c:pt>
                <c:pt idx="31">
                  <c:v>-9</c:v>
                </c:pt>
                <c:pt idx="32">
                  <c:v>-8</c:v>
                </c:pt>
                <c:pt idx="33">
                  <c:v>-7</c:v>
                </c:pt>
                <c:pt idx="34">
                  <c:v>-6</c:v>
                </c:pt>
                <c:pt idx="35">
                  <c:v>-5</c:v>
                </c:pt>
                <c:pt idx="36">
                  <c:v>-4</c:v>
                </c:pt>
                <c:pt idx="37">
                  <c:v>-3</c:v>
                </c:pt>
                <c:pt idx="38">
                  <c:v>-2</c:v>
                </c:pt>
                <c:pt idx="39">
                  <c:v>-1</c:v>
                </c:pt>
                <c:pt idx="40">
                  <c:v>0</c:v>
                </c:pt>
                <c:pt idx="41">
                  <c:v>1</c:v>
                </c:pt>
                <c:pt idx="42">
                  <c:v>2</c:v>
                </c:pt>
                <c:pt idx="43">
                  <c:v>3</c:v>
                </c:pt>
                <c:pt idx="44">
                  <c:v>4</c:v>
                </c:pt>
                <c:pt idx="45">
                  <c:v>5</c:v>
                </c:pt>
                <c:pt idx="46">
                  <c:v>6</c:v>
                </c:pt>
                <c:pt idx="47">
                  <c:v>7</c:v>
                </c:pt>
                <c:pt idx="48">
                  <c:v>8</c:v>
                </c:pt>
                <c:pt idx="49">
                  <c:v>9</c:v>
                </c:pt>
                <c:pt idx="50">
                  <c:v>10</c:v>
                </c:pt>
                <c:pt idx="51">
                  <c:v>11</c:v>
                </c:pt>
                <c:pt idx="52">
                  <c:v>12</c:v>
                </c:pt>
                <c:pt idx="53">
                  <c:v>13</c:v>
                </c:pt>
                <c:pt idx="54">
                  <c:v>14</c:v>
                </c:pt>
                <c:pt idx="55">
                  <c:v>15</c:v>
                </c:pt>
                <c:pt idx="56">
                  <c:v>16</c:v>
                </c:pt>
                <c:pt idx="57">
                  <c:v>17</c:v>
                </c:pt>
                <c:pt idx="58">
                  <c:v>18</c:v>
                </c:pt>
                <c:pt idx="59">
                  <c:v>19</c:v>
                </c:pt>
                <c:pt idx="60">
                  <c:v>20</c:v>
                </c:pt>
                <c:pt idx="61">
                  <c:v>21</c:v>
                </c:pt>
                <c:pt idx="62">
                  <c:v>22</c:v>
                </c:pt>
                <c:pt idx="63">
                  <c:v>23</c:v>
                </c:pt>
                <c:pt idx="64">
                  <c:v>24</c:v>
                </c:pt>
                <c:pt idx="65">
                  <c:v>25</c:v>
                </c:pt>
                <c:pt idx="66">
                  <c:v>26</c:v>
                </c:pt>
                <c:pt idx="67">
                  <c:v>27</c:v>
                </c:pt>
                <c:pt idx="68">
                  <c:v>28</c:v>
                </c:pt>
                <c:pt idx="69">
                  <c:v>29</c:v>
                </c:pt>
                <c:pt idx="70">
                  <c:v>30</c:v>
                </c:pt>
                <c:pt idx="71">
                  <c:v>31</c:v>
                </c:pt>
                <c:pt idx="72">
                  <c:v>32</c:v>
                </c:pt>
                <c:pt idx="73">
                  <c:v>33</c:v>
                </c:pt>
                <c:pt idx="74">
                  <c:v>34</c:v>
                </c:pt>
                <c:pt idx="75">
                  <c:v>35</c:v>
                </c:pt>
                <c:pt idx="76">
                  <c:v>36</c:v>
                </c:pt>
                <c:pt idx="77">
                  <c:v>37</c:v>
                </c:pt>
                <c:pt idx="78">
                  <c:v>38</c:v>
                </c:pt>
                <c:pt idx="79">
                  <c:v>39</c:v>
                </c:pt>
                <c:pt idx="80">
                  <c:v>40</c:v>
                </c:pt>
              </c:numCache>
            </c:numRef>
          </c:cat>
          <c:val>
            <c:numRef>
              <c:f>'expected value'!$C$10:$C$90</c:f>
              <c:numCache>
                <c:formatCode>_(* #,##0.00_);_(* \(#,##0.00\);_(* "-"??_);_(@_)</c:formatCode>
                <c:ptCount val="81"/>
                <c:pt idx="0">
                  <c:v>1.3383022576488536E-5</c:v>
                </c:pt>
                <c:pt idx="1">
                  <c:v>1.9865547139277272E-5</c:v>
                </c:pt>
                <c:pt idx="2">
                  <c:v>2.9194692579146026E-5</c:v>
                </c:pt>
                <c:pt idx="3">
                  <c:v>4.2478027055075142E-5</c:v>
                </c:pt>
                <c:pt idx="4">
                  <c:v>6.1190193011377187E-5</c:v>
                </c:pt>
                <c:pt idx="5">
                  <c:v>8.726826950457601E-5</c:v>
                </c:pt>
                <c:pt idx="6">
                  <c:v>1.2322191684730198E-4</c:v>
                </c:pt>
                <c:pt idx="7">
                  <c:v>1.722568939053681E-4</c:v>
                </c:pt>
                <c:pt idx="8">
                  <c:v>2.3840882014648405E-4</c:v>
                </c:pt>
                <c:pt idx="9">
                  <c:v>3.2668190561999186E-4</c:v>
                </c:pt>
                <c:pt idx="10">
                  <c:v>4.4318484119380076E-4</c:v>
                </c:pt>
                <c:pt idx="11">
                  <c:v>5.9525324197758534E-4</c:v>
                </c:pt>
                <c:pt idx="12">
                  <c:v>7.9154515829799694E-4</c:v>
                </c:pt>
                <c:pt idx="13">
                  <c:v>1.0420934814422591E-3</c:v>
                </c:pt>
                <c:pt idx="14">
                  <c:v>1.3582969233685612E-3</c:v>
                </c:pt>
                <c:pt idx="15">
                  <c:v>1.752830049356854E-3</c:v>
                </c:pt>
                <c:pt idx="16">
                  <c:v>2.2394530294842902E-3</c:v>
                </c:pt>
                <c:pt idx="17">
                  <c:v>2.8327037741601186E-3</c:v>
                </c:pt>
                <c:pt idx="18">
                  <c:v>3.5474592846231421E-3</c:v>
                </c:pt>
                <c:pt idx="19">
                  <c:v>4.3983595980427196E-3</c:v>
                </c:pt>
                <c:pt idx="20">
                  <c:v>5.3990966513188061E-3</c:v>
                </c:pt>
                <c:pt idx="21">
                  <c:v>6.5615814774676604E-3</c:v>
                </c:pt>
                <c:pt idx="22">
                  <c:v>7.8950158300894139E-3</c:v>
                </c:pt>
                <c:pt idx="23">
                  <c:v>9.4049077376886937E-3</c:v>
                </c:pt>
                <c:pt idx="24">
                  <c:v>1.1092083467945555E-2</c:v>
                </c:pt>
                <c:pt idx="25">
                  <c:v>1.2951759566589173E-2</c:v>
                </c:pt>
                <c:pt idx="26">
                  <c:v>1.4972746563574486E-2</c:v>
                </c:pt>
                <c:pt idx="27">
                  <c:v>1.7136859204780735E-2</c:v>
                </c:pt>
                <c:pt idx="28">
                  <c:v>1.9418605498321296E-2</c:v>
                </c:pt>
                <c:pt idx="29">
                  <c:v>2.1785217703255054E-2</c:v>
                </c:pt>
                <c:pt idx="30">
                  <c:v>2.4197072451914336E-2</c:v>
                </c:pt>
                <c:pt idx="31">
                  <c:v>2.6608524989875482E-2</c:v>
                </c:pt>
                <c:pt idx="32">
                  <c:v>2.8969155276148274E-2</c:v>
                </c:pt>
                <c:pt idx="33">
                  <c:v>3.1225393336676129E-2</c:v>
                </c:pt>
                <c:pt idx="34">
                  <c:v>3.3322460289179963E-2</c:v>
                </c:pt>
                <c:pt idx="35">
                  <c:v>3.5206532676429952E-2</c:v>
                </c:pt>
                <c:pt idx="36">
                  <c:v>3.6827014030332332E-2</c:v>
                </c:pt>
                <c:pt idx="37">
                  <c:v>3.8138781546052408E-2</c:v>
                </c:pt>
                <c:pt idx="38">
                  <c:v>3.9104269397545591E-2</c:v>
                </c:pt>
                <c:pt idx="39">
                  <c:v>3.9695254747701178E-2</c:v>
                </c:pt>
                <c:pt idx="40">
                  <c:v>3.9894228040143274E-2</c:v>
                </c:pt>
                <c:pt idx="41">
                  <c:v>3.9695254747701178E-2</c:v>
                </c:pt>
                <c:pt idx="42">
                  <c:v>3.9104269397545591E-2</c:v>
                </c:pt>
                <c:pt idx="43">
                  <c:v>3.8138781546052408E-2</c:v>
                </c:pt>
                <c:pt idx="44">
                  <c:v>3.6827014030332332E-2</c:v>
                </c:pt>
                <c:pt idx="45">
                  <c:v>3.5206532676429952E-2</c:v>
                </c:pt>
                <c:pt idx="46">
                  <c:v>3.3322460289179963E-2</c:v>
                </c:pt>
                <c:pt idx="47">
                  <c:v>3.1225393336676129E-2</c:v>
                </c:pt>
                <c:pt idx="48">
                  <c:v>2.8969155276148274E-2</c:v>
                </c:pt>
                <c:pt idx="49">
                  <c:v>2.6608524989875482E-2</c:v>
                </c:pt>
                <c:pt idx="50">
                  <c:v>2.4197072451914336E-2</c:v>
                </c:pt>
                <c:pt idx="51">
                  <c:v>2.1785217703255054E-2</c:v>
                </c:pt>
                <c:pt idx="52">
                  <c:v>1.9418605498321296E-2</c:v>
                </c:pt>
                <c:pt idx="53">
                  <c:v>1.7136859204780735E-2</c:v>
                </c:pt>
                <c:pt idx="54">
                  <c:v>1.4972746563574486E-2</c:v>
                </c:pt>
                <c:pt idx="55">
                  <c:v>1.2951759566589173E-2</c:v>
                </c:pt>
                <c:pt idx="56">
                  <c:v>1.1092083467945555E-2</c:v>
                </c:pt>
                <c:pt idx="57">
                  <c:v>9.4049077376886937E-3</c:v>
                </c:pt>
                <c:pt idx="58">
                  <c:v>7.8950158300894139E-3</c:v>
                </c:pt>
                <c:pt idx="59">
                  <c:v>6.5615814774676604E-3</c:v>
                </c:pt>
                <c:pt idx="60">
                  <c:v>5.3990966513188061E-3</c:v>
                </c:pt>
                <c:pt idx="61">
                  <c:v>4.3983595980427196E-3</c:v>
                </c:pt>
                <c:pt idx="62">
                  <c:v>3.5474592846231421E-3</c:v>
                </c:pt>
                <c:pt idx="63">
                  <c:v>2.8327037741601186E-3</c:v>
                </c:pt>
                <c:pt idx="64">
                  <c:v>2.2394530294842902E-3</c:v>
                </c:pt>
                <c:pt idx="65">
                  <c:v>1.752830049356854E-3</c:v>
                </c:pt>
                <c:pt idx="66">
                  <c:v>1.3582969233685612E-3</c:v>
                </c:pt>
                <c:pt idx="67">
                  <c:v>1.0420934814422591E-3</c:v>
                </c:pt>
                <c:pt idx="68">
                  <c:v>7.9154515829799694E-4</c:v>
                </c:pt>
                <c:pt idx="69">
                  <c:v>5.9525324197758534E-4</c:v>
                </c:pt>
                <c:pt idx="70">
                  <c:v>4.4318484119380076E-4</c:v>
                </c:pt>
                <c:pt idx="71">
                  <c:v>3.2668190561999186E-4</c:v>
                </c:pt>
                <c:pt idx="72">
                  <c:v>2.3840882014648405E-4</c:v>
                </c:pt>
                <c:pt idx="73">
                  <c:v>1.722568939053681E-4</c:v>
                </c:pt>
                <c:pt idx="74">
                  <c:v>1.2322191684730198E-4</c:v>
                </c:pt>
                <c:pt idx="75">
                  <c:v>8.726826950457601E-5</c:v>
                </c:pt>
                <c:pt idx="76">
                  <c:v>6.1190193011377187E-5</c:v>
                </c:pt>
                <c:pt idx="77">
                  <c:v>4.2478027055075142E-5</c:v>
                </c:pt>
                <c:pt idx="78">
                  <c:v>2.9194692579146026E-5</c:v>
                </c:pt>
                <c:pt idx="79">
                  <c:v>1.9865547139277272E-5</c:v>
                </c:pt>
                <c:pt idx="80">
                  <c:v>1.3383022576488536E-5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FE-43B2-86F9-AAF67EF11F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93600080"/>
        <c:axId val="1193583280"/>
      </c:barChart>
      <c:catAx>
        <c:axId val="1193600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3583280"/>
        <c:crosses val="autoZero"/>
        <c:auto val="1"/>
        <c:lblAlgn val="ctr"/>
        <c:lblOffset val="100"/>
        <c:noMultiLvlLbl val="0"/>
      </c:catAx>
      <c:valAx>
        <c:axId val="1193583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3600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'Bern(p)'!$J$3</c:f>
          <c:strCache>
            <c:ptCount val="1"/>
            <c:pt idx="0">
              <c:v>Theoretical Bernoulli Dist. - p = 0.7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'Bern(p)'!$B$3:$B$4</c:f>
              <c:strCache>
                <c:ptCount val="2"/>
                <c:pt idx="0">
                  <c:v>p (success prob.)</c:v>
                </c:pt>
                <c:pt idx="1">
                  <c:v>q (failure prob.)</c:v>
                </c:pt>
              </c:strCache>
            </c:strRef>
          </c:cat>
          <c:val>
            <c:numRef>
              <c:f>'Bern(p)'!$C$3:$C$4</c:f>
              <c:numCache>
                <c:formatCode>General</c:formatCode>
                <c:ptCount val="2"/>
                <c:pt idx="0">
                  <c:v>0.7</c:v>
                </c:pt>
                <c:pt idx="1">
                  <c:v>0.30000000000000004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30-470B-BAB8-F00268265E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06176656"/>
        <c:axId val="806177136"/>
      </c:barChart>
      <c:catAx>
        <c:axId val="806176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6177136"/>
        <c:crosses val="autoZero"/>
        <c:auto val="1"/>
        <c:lblAlgn val="ctr"/>
        <c:lblOffset val="100"/>
        <c:noMultiLvlLbl val="0"/>
      </c:catAx>
      <c:valAx>
        <c:axId val="806177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6176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Observed Random Samples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'Bern(p)'!$B$8:$B$9</c:f>
              <c:strCache>
                <c:ptCount val="2"/>
                <c:pt idx="0">
                  <c:v>success (1)</c:v>
                </c:pt>
                <c:pt idx="1">
                  <c:v>failure (0)</c:v>
                </c:pt>
              </c:strCache>
            </c:strRef>
          </c:cat>
          <c:val>
            <c:numRef>
              <c:f>'Bern(p)'!$C$8:$C$9</c:f>
              <c:numCache>
                <c:formatCode>General</c:formatCode>
                <c:ptCount val="2"/>
                <c:pt idx="0">
                  <c:v>69</c:v>
                </c:pt>
                <c:pt idx="1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B8-42FF-BD7B-9B032E55FB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06176656"/>
        <c:axId val="806177136"/>
      </c:barChart>
      <c:catAx>
        <c:axId val="806176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6177136"/>
        <c:crosses val="autoZero"/>
        <c:auto val="1"/>
        <c:lblAlgn val="ctr"/>
        <c:lblOffset val="100"/>
        <c:noMultiLvlLbl val="0"/>
      </c:catAx>
      <c:valAx>
        <c:axId val="806177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6176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'Bin(n,p)'!$H$2</c:f>
          <c:strCache>
            <c:ptCount val="1"/>
            <c:pt idx="0">
              <c:v>Binomial Dist - n = 400, p = 0.1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'Bin(n,p)'!$F$3:$F$102</c:f>
              <c:numCache>
                <c:formatCode>_(* #,##0.00_);_(* \(#,##0.00\);_(* "-"??_);_(@_)</c:formatCode>
                <c:ptCount val="100"/>
                <c:pt idx="0">
                  <c:v>2.2121840546393112E-17</c:v>
                </c:pt>
                <c:pt idx="1">
                  <c:v>4.9036746544505203E-16</c:v>
                </c:pt>
                <c:pt idx="2">
                  <c:v>7.2283796758196472E-15</c:v>
                </c:pt>
                <c:pt idx="3">
                  <c:v>7.9712964758344463E-14</c:v>
                </c:pt>
                <c:pt idx="4">
                  <c:v>7.0147408987343016E-13</c:v>
                </c:pt>
                <c:pt idx="5">
                  <c:v>5.1311530648149075E-12</c:v>
                </c:pt>
                <c:pt idx="6">
                  <c:v>3.2090068373604308E-11</c:v>
                </c:pt>
                <c:pt idx="7">
                  <c:v>1.7515828987259141E-10</c:v>
                </c:pt>
                <c:pt idx="8">
                  <c:v>8.4767962506240819E-10</c:v>
                </c:pt>
                <c:pt idx="9">
                  <c:v>3.6826970377711554E-9</c:v>
                </c:pt>
                <c:pt idx="10">
                  <c:v>1.4507594391219628E-8</c:v>
                </c:pt>
                <c:pt idx="11">
                  <c:v>5.2254205723930249E-8</c:v>
                </c:pt>
                <c:pt idx="12">
                  <c:v>1.7328745146055471E-7</c:v>
                </c:pt>
                <c:pt idx="13">
                  <c:v>5.3224002948598982E-7</c:v>
                </c:pt>
                <c:pt idx="14">
                  <c:v>1.5218122324562383E-6</c:v>
                </c:pt>
                <c:pt idx="15">
                  <c:v>4.0687340937198065E-6</c:v>
                </c:pt>
                <c:pt idx="16">
                  <c:v>1.0211724784237938E-5</c:v>
                </c:pt>
                <c:pt idx="17">
                  <c:v>2.4142534520760035E-5</c:v>
                </c:pt>
                <c:pt idx="18">
                  <c:v>5.3932445537604407E-5</c:v>
                </c:pt>
                <c:pt idx="19">
                  <c:v>1.1415700972126225E-4</c:v>
                </c:pt>
                <c:pt idx="20">
                  <c:v>2.2952203012740555E-4</c:v>
                </c:pt>
                <c:pt idx="21">
                  <c:v>4.3933762332468027E-4</c:v>
                </c:pt>
                <c:pt idx="22">
                  <c:v>8.0226870346246219E-4</c:v>
                </c:pt>
                <c:pt idx="23">
                  <c:v>1.4002560240988318E-3</c:v>
                </c:pt>
                <c:pt idx="24">
                  <c:v>2.3399834002718299E-3</c:v>
                </c:pt>
                <c:pt idx="25">
                  <c:v>3.7499733978715124E-3</c:v>
                </c:pt>
                <c:pt idx="26">
                  <c:v>5.7715639950779692E-3</c:v>
                </c:pt>
                <c:pt idx="27">
                  <c:v>8.5428308339844643E-3</c:v>
                </c:pt>
                <c:pt idx="28">
                  <c:v>1.2175988774874412E-2</c:v>
                </c:pt>
                <c:pt idx="29">
                  <c:v>1.6730710501771877E-2</c:v>
                </c:pt>
                <c:pt idx="30">
                  <c:v>2.2187680593747611E-2</c:v>
                </c:pt>
                <c:pt idx="31">
                  <c:v>2.8427965760739166E-2</c:v>
                </c:pt>
                <c:pt idx="32">
                  <c:v>3.5223876767515178E-2</c:v>
                </c:pt>
                <c:pt idx="33">
                  <c:v>4.2245629979340088E-2</c:v>
                </c:pt>
                <c:pt idx="34">
                  <c:v>4.908539864266187E-2</c:v>
                </c:pt>
                <c:pt idx="35">
                  <c:v>5.5296822544973992E-2</c:v>
                </c:pt>
                <c:pt idx="36">
                  <c:v>6.0444574793905533E-2</c:v>
                </c:pt>
                <c:pt idx="37">
                  <c:v>6.4156083772478625E-2</c:v>
                </c:pt>
                <c:pt idx="38">
                  <c:v>6.6166673292413894E-2</c:v>
                </c:pt>
                <c:pt idx="39">
                  <c:v>6.635046960711502E-2</c:v>
                </c:pt>
                <c:pt idx="40">
                  <c:v>6.4732165470356151E-2</c:v>
                </c:pt>
                <c:pt idx="41">
                  <c:v>6.1478432285338204E-2</c:v>
                </c:pt>
                <c:pt idx="42">
                  <c:v>5.6871521338891728E-2</c:v>
                </c:pt>
                <c:pt idx="43">
                  <c:v>5.1270538176728109E-2</c:v>
                </c:pt>
                <c:pt idx="44">
                  <c:v>4.5067436026951124E-2</c:v>
                </c:pt>
                <c:pt idx="45">
                  <c:v>3.8644782100404965E-2</c:v>
                </c:pt>
                <c:pt idx="46">
                  <c:v>3.2341023318069408E-2</c:v>
                </c:pt>
                <c:pt idx="47">
                  <c:v>2.642680840573728E-2</c:v>
                </c:pt>
                <c:pt idx="48">
                  <c:v>2.10935069360987E-2</c:v>
                </c:pt>
                <c:pt idx="49">
                  <c:v>1.6452935410156955E-2</c:v>
                </c:pt>
                <c:pt idx="50">
                  <c:v>1.2545811314934503E-2</c:v>
                </c:pt>
                <c:pt idx="51">
                  <c:v>9.3557439079318926E-3</c:v>
                </c:pt>
                <c:pt idx="52">
                  <c:v>6.8255741718245668E-3</c:v>
                </c:pt>
                <c:pt idx="53">
                  <c:v>4.8734037811175284E-3</c:v>
                </c:pt>
                <c:pt idx="54">
                  <c:v>3.4064600167003425E-3</c:v>
                </c:pt>
                <c:pt idx="55">
                  <c:v>2.3318029876222544E-3</c:v>
                </c:pt>
                <c:pt idx="56">
                  <c:v>1.5636261749357807E-3</c:v>
                </c:pt>
                <c:pt idx="57">
                  <c:v>1.0274401877451587E-3</c:v>
                </c:pt>
                <c:pt idx="58">
                  <c:v>6.617411378697617E-4</c:v>
                </c:pt>
                <c:pt idx="59">
                  <c:v>4.1787727409924041E-4</c:v>
                </c:pt>
                <c:pt idx="60">
                  <c:v>2.5879466884106024E-4</c:v>
                </c:pt>
                <c:pt idx="61">
                  <c:v>1.5722471816687932E-4</c:v>
                </c:pt>
                <c:pt idx="62">
                  <c:v>9.3724787901949561E-5</c:v>
                </c:pt>
                <c:pt idx="63">
                  <c:v>5.4835509588466604E-5</c:v>
                </c:pt>
                <c:pt idx="64">
                  <c:v>3.1495267045683651E-5</c:v>
                </c:pt>
                <c:pt idx="65">
                  <c:v>1.7762482256404184E-5</c:v>
                </c:pt>
                <c:pt idx="66">
                  <c:v>9.8385888451723528E-6</c:v>
                </c:pt>
                <c:pt idx="67">
                  <c:v>5.3533498128143958E-6</c:v>
                </c:pt>
                <c:pt idx="68">
                  <c:v>2.8620163250472946E-6</c:v>
                </c:pt>
                <c:pt idx="69">
                  <c:v>1.5036942914137443E-6</c:v>
                </c:pt>
                <c:pt idx="70">
                  <c:v>7.7655573734982382E-7</c:v>
                </c:pt>
                <c:pt idx="71">
                  <c:v>3.9426981109273327E-7</c:v>
                </c:pt>
                <c:pt idx="72">
                  <c:v>1.968348524176807E-7</c:v>
                </c:pt>
                <c:pt idx="73">
                  <c:v>9.6644139250121434E-8</c:v>
                </c:pt>
                <c:pt idx="74">
                  <c:v>4.6675539845244612E-8</c:v>
                </c:pt>
                <c:pt idx="75">
                  <c:v>2.2177705335825413E-8</c:v>
                </c:pt>
                <c:pt idx="76">
                  <c:v>1.03687972998664E-8</c:v>
                </c:pt>
                <c:pt idx="77">
                  <c:v>4.7708283872604409E-9</c:v>
                </c:pt>
                <c:pt idx="78">
                  <c:v>2.1606283272824884E-9</c:v>
                </c:pt>
                <c:pt idx="79">
                  <c:v>9.632801292467846E-10</c:v>
                </c:pt>
                <c:pt idx="80">
                  <c:v>4.228390142098406E-10</c:v>
                </c:pt>
                <c:pt idx="81">
                  <c:v>1.8277187741590527E-10</c:v>
                </c:pt>
                <c:pt idx="82">
                  <c:v>7.780650203247286E-11</c:v>
                </c:pt>
                <c:pt idx="83">
                  <c:v>3.2625213153828333E-11</c:v>
                </c:pt>
                <c:pt idx="84">
                  <c:v>1.3476558636091143E-11</c:v>
                </c:pt>
                <c:pt idx="85">
                  <c:v>5.4846459565487438E-12</c:v>
                </c:pt>
                <c:pt idx="86">
                  <c:v>2.1994621077347422E-12</c:v>
                </c:pt>
                <c:pt idx="87">
                  <c:v>8.692318683345556E-13</c:v>
                </c:pt>
                <c:pt idx="88">
                  <c:v>3.3857720714154546E-13</c:v>
                </c:pt>
                <c:pt idx="89">
                  <c:v>1.2999692768027556E-13</c:v>
                </c:pt>
                <c:pt idx="90">
                  <c:v>4.9205186301447116E-14</c:v>
                </c:pt>
                <c:pt idx="91">
                  <c:v>1.8362805032786744E-14</c:v>
                </c:pt>
                <c:pt idx="92">
                  <c:v>6.757161230702749E-15</c:v>
                </c:pt>
                <c:pt idx="93">
                  <c:v>2.4520667822999242E-15</c:v>
                </c:pt>
                <c:pt idx="94">
                  <c:v>8.7758179577050394E-16</c:v>
                </c:pt>
                <c:pt idx="95">
                  <c:v>3.0979449966435702E-16</c:v>
                </c:pt>
                <c:pt idx="96">
                  <c:v>1.078780388292848E-16</c:v>
                </c:pt>
                <c:pt idx="97">
                  <c:v>3.7060142591011866E-17</c:v>
                </c:pt>
                <c:pt idx="98">
                  <c:v>1.2561350238479987E-17</c:v>
                </c:pt>
                <c:pt idx="99">
                  <c:v>4.2010738019805064E-18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68-4A01-9228-EF6871A1BD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42073232"/>
        <c:axId val="2142081392"/>
      </c:barChart>
      <c:catAx>
        <c:axId val="2142073232"/>
        <c:scaling>
          <c:orientation val="minMax"/>
        </c:scaling>
        <c:delete val="0"/>
        <c:axPos val="b"/>
        <c:title>
          <c:tx>
            <c:strRef>
              <c:f>'Bin(n,p)'!$E$2</c:f>
              <c:strCache>
                <c:ptCount val="1"/>
                <c:pt idx="0">
                  <c:v># successes</c:v>
                </c:pt>
              </c:strCache>
            </c:strRef>
          </c:tx>
          <c:layout>
            <c:manualLayout>
              <c:xMode val="edge"/>
              <c:yMode val="edge"/>
              <c:x val="0.4420249130215953"/>
              <c:y val="0.916310464420760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2081392"/>
        <c:crosses val="autoZero"/>
        <c:auto val="1"/>
        <c:lblAlgn val="ctr"/>
        <c:lblOffset val="100"/>
        <c:tickMarkSkip val="1"/>
        <c:noMultiLvlLbl val="0"/>
      </c:catAx>
      <c:valAx>
        <c:axId val="2142081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2073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'Pois(lambda)'!$H$2</c:f>
          <c:strCache>
            <c:ptCount val="1"/>
            <c:pt idx="0">
              <c:v>Poisson Dist - lambda = 5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'Pois(lambda)'!$F$3:$F$102</c:f>
              <c:numCache>
                <c:formatCode>_(* #,##0.00_);_(* \(#,##0.00\);_(* "-"??_);_(@_)</c:formatCode>
                <c:ptCount val="100"/>
                <c:pt idx="0">
                  <c:v>3.368973499542733E-2</c:v>
                </c:pt>
                <c:pt idx="1">
                  <c:v>8.4224337488568335E-2</c:v>
                </c:pt>
                <c:pt idx="2">
                  <c:v>0.14037389581428059</c:v>
                </c:pt>
                <c:pt idx="3">
                  <c:v>0.17546736976785074</c:v>
                </c:pt>
                <c:pt idx="4">
                  <c:v>0.17546736976785071</c:v>
                </c:pt>
                <c:pt idx="5">
                  <c:v>0.14622280813987559</c:v>
                </c:pt>
                <c:pt idx="6">
                  <c:v>0.104444862957054</c:v>
                </c:pt>
                <c:pt idx="7">
                  <c:v>6.5278039348158706E-2</c:v>
                </c:pt>
                <c:pt idx="8">
                  <c:v>3.6265577415643749E-2</c:v>
                </c:pt>
                <c:pt idx="9">
                  <c:v>1.8132788707821874E-2</c:v>
                </c:pt>
                <c:pt idx="10">
                  <c:v>8.2421766853735742E-3</c:v>
                </c:pt>
                <c:pt idx="11">
                  <c:v>3.4342402855723282E-3</c:v>
                </c:pt>
                <c:pt idx="12">
                  <c:v>1.3208616482970471E-3</c:v>
                </c:pt>
                <c:pt idx="13">
                  <c:v>4.7173630296323246E-4</c:v>
                </c:pt>
                <c:pt idx="14">
                  <c:v>1.5724543432107704E-4</c:v>
                </c:pt>
                <c:pt idx="15">
                  <c:v>4.9139198225336609E-5</c:v>
                </c:pt>
                <c:pt idx="16">
                  <c:v>1.4452705360393124E-5</c:v>
                </c:pt>
                <c:pt idx="17">
                  <c:v>4.0146403778869831E-6</c:v>
                </c:pt>
                <c:pt idx="18">
                  <c:v>1.0564843099702586E-6</c:v>
                </c:pt>
                <c:pt idx="19">
                  <c:v>2.6412107749256427E-7</c:v>
                </c:pt>
                <c:pt idx="20">
                  <c:v>6.2885970831562693E-8</c:v>
                </c:pt>
                <c:pt idx="21">
                  <c:v>1.4292266098082472E-8</c:v>
                </c:pt>
                <c:pt idx="22">
                  <c:v>3.1070143691483715E-9</c:v>
                </c:pt>
                <c:pt idx="23">
                  <c:v>6.4729466023924485E-10</c:v>
                </c:pt>
                <c:pt idx="24">
                  <c:v>1.2945893204784874E-10</c:v>
                </c:pt>
                <c:pt idx="25">
                  <c:v>2.4895948470740127E-11</c:v>
                </c:pt>
                <c:pt idx="26">
                  <c:v>4.6103608279148155E-12</c:v>
                </c:pt>
                <c:pt idx="27">
                  <c:v>8.2327871927050559E-13</c:v>
                </c:pt>
                <c:pt idx="28">
                  <c:v>1.419446067707773E-13</c:v>
                </c:pt>
                <c:pt idx="29">
                  <c:v>2.3657434461796165E-14</c:v>
                </c:pt>
                <c:pt idx="30">
                  <c:v>3.8157152357735622E-15</c:v>
                </c:pt>
                <c:pt idx="31">
                  <c:v>5.9620550558961939E-16</c:v>
                </c:pt>
                <c:pt idx="32">
                  <c:v>9.0334167513579496E-17</c:v>
                </c:pt>
                <c:pt idx="33">
                  <c:v>1.3284436399055676E-17</c:v>
                </c:pt>
                <c:pt idx="34">
                  <c:v>1.8977766284365282E-18</c:v>
                </c:pt>
                <c:pt idx="35">
                  <c:v>2.6358008728285044E-19</c:v>
                </c:pt>
                <c:pt idx="36">
                  <c:v>3.5618930713898303E-20</c:v>
                </c:pt>
                <c:pt idx="37">
                  <c:v>4.6867014097235461E-21</c:v>
                </c:pt>
                <c:pt idx="38">
                  <c:v>6.0085915509275958E-22</c:v>
                </c:pt>
                <c:pt idx="39">
                  <c:v>7.5107394386595207E-23</c:v>
                </c:pt>
                <c:pt idx="40">
                  <c:v>9.1594383398286335E-24</c:v>
                </c:pt>
                <c:pt idx="41">
                  <c:v>1.0904093261700771E-24</c:v>
                </c:pt>
                <c:pt idx="42">
                  <c:v>1.2679178211280085E-25</c:v>
                </c:pt>
                <c:pt idx="43">
                  <c:v>1.4408157058272622E-26</c:v>
                </c:pt>
                <c:pt idx="44">
                  <c:v>1.6009063398080765E-27</c:v>
                </c:pt>
                <c:pt idx="45">
                  <c:v>1.7401155867479202E-28</c:v>
                </c:pt>
                <c:pt idx="46">
                  <c:v>1.8511867944126477E-29</c:v>
                </c:pt>
                <c:pt idx="47">
                  <c:v>1.9283195775131986E-30</c:v>
                </c:pt>
                <c:pt idx="48">
                  <c:v>1.9676730382787564E-31</c:v>
                </c:pt>
                <c:pt idx="49">
                  <c:v>1.9676730382787648E-32</c:v>
                </c:pt>
                <c:pt idx="50">
                  <c:v>1.9290912139988144E-33</c:v>
                </c:pt>
                <c:pt idx="51">
                  <c:v>1.854895398075765E-34</c:v>
                </c:pt>
                <c:pt idx="52">
                  <c:v>1.7499013189394012E-35</c:v>
                </c:pt>
                <c:pt idx="53">
                  <c:v>1.6202789990179881E-36</c:v>
                </c:pt>
                <c:pt idx="54">
                  <c:v>1.4729809081981492E-37</c:v>
                </c:pt>
                <c:pt idx="55">
                  <c:v>1.3151615251769426E-38</c:v>
                </c:pt>
                <c:pt idx="56">
                  <c:v>1.1536504606815198E-39</c:v>
                </c:pt>
                <c:pt idx="57">
                  <c:v>9.9452625920819799E-41</c:v>
                </c:pt>
                <c:pt idx="58">
                  <c:v>8.4281886373575364E-42</c:v>
                </c:pt>
                <c:pt idx="59">
                  <c:v>7.0234905311314126E-43</c:v>
                </c:pt>
                <c:pt idx="60">
                  <c:v>5.7569594517470561E-44</c:v>
                </c:pt>
                <c:pt idx="61">
                  <c:v>4.6427092352798802E-45</c:v>
                </c:pt>
                <c:pt idx="62">
                  <c:v>3.6846898692697132E-46</c:v>
                </c:pt>
                <c:pt idx="63">
                  <c:v>2.8786639603669904E-47</c:v>
                </c:pt>
                <c:pt idx="64">
                  <c:v>2.2143568925900074E-48</c:v>
                </c:pt>
                <c:pt idx="65">
                  <c:v>1.6775431004469291E-49</c:v>
                </c:pt>
                <c:pt idx="66">
                  <c:v>1.2518978361544393E-50</c:v>
                </c:pt>
                <c:pt idx="67">
                  <c:v>9.2051311481941954E-52</c:v>
                </c:pt>
                <c:pt idx="68">
                  <c:v>6.6703848899959649E-53</c:v>
                </c:pt>
                <c:pt idx="69">
                  <c:v>4.7645606357114056E-54</c:v>
                </c:pt>
                <c:pt idx="70">
                  <c:v>3.3553243913460844E-55</c:v>
                </c:pt>
                <c:pt idx="71">
                  <c:v>2.3300863828792732E-56</c:v>
                </c:pt>
                <c:pt idx="72">
                  <c:v>1.5959495773145108E-57</c:v>
                </c:pt>
                <c:pt idx="73">
                  <c:v>1.0783443089963106E-58</c:v>
                </c:pt>
                <c:pt idx="74">
                  <c:v>7.1889620599755041E-60</c:v>
                </c:pt>
                <c:pt idx="75">
                  <c:v>4.7295803026153726E-61</c:v>
                </c:pt>
                <c:pt idx="76">
                  <c:v>3.071156040659316E-62</c:v>
                </c:pt>
                <c:pt idx="77">
                  <c:v>1.9686897696534738E-63</c:v>
                </c:pt>
                <c:pt idx="78">
                  <c:v>1.246006183324949E-64</c:v>
                </c:pt>
                <c:pt idx="79">
                  <c:v>7.787538645780813E-66</c:v>
                </c:pt>
                <c:pt idx="80">
                  <c:v>4.8071226208524682E-67</c:v>
                </c:pt>
                <c:pt idx="81">
                  <c:v>2.9311723297879517E-68</c:v>
                </c:pt>
                <c:pt idx="82">
                  <c:v>1.7657664637277417E-69</c:v>
                </c:pt>
                <c:pt idx="83">
                  <c:v>1.0510514665046062E-70</c:v>
                </c:pt>
                <c:pt idx="84">
                  <c:v>6.1826556853212259E-72</c:v>
                </c:pt>
                <c:pt idx="85">
                  <c:v>3.5945672589076742E-73</c:v>
                </c:pt>
                <c:pt idx="86">
                  <c:v>2.0658432522457888E-74</c:v>
                </c:pt>
                <c:pt idx="87">
                  <c:v>1.1737745751396318E-75</c:v>
                </c:pt>
                <c:pt idx="88">
                  <c:v>6.594239186177695E-77</c:v>
                </c:pt>
                <c:pt idx="89">
                  <c:v>3.6634662145433404E-78</c:v>
                </c:pt>
                <c:pt idx="90">
                  <c:v>2.0128935244743528E-79</c:v>
                </c:pt>
                <c:pt idx="91">
                  <c:v>1.0939638719969116E-80</c:v>
                </c:pt>
                <c:pt idx="92">
                  <c:v>5.881526193531642E-82</c:v>
                </c:pt>
                <c:pt idx="93">
                  <c:v>3.1284713795381721E-83</c:v>
                </c:pt>
                <c:pt idx="94">
                  <c:v>1.6465638839674376E-84</c:v>
                </c:pt>
                <c:pt idx="95">
                  <c:v>8.5758535623304079E-86</c:v>
                </c:pt>
                <c:pt idx="96">
                  <c:v>4.4205430733663599E-87</c:v>
                </c:pt>
                <c:pt idx="97">
                  <c:v>2.2553791190644136E-88</c:v>
                </c:pt>
                <c:pt idx="98">
                  <c:v>1.1390803631638423E-89</c:v>
                </c:pt>
                <c:pt idx="99">
                  <c:v>5.6954018158194734E-91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1D-4FC9-94D9-D49E3101B9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42073232"/>
        <c:axId val="2142081392"/>
      </c:barChart>
      <c:catAx>
        <c:axId val="21420732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2081392"/>
        <c:crosses val="autoZero"/>
        <c:auto val="1"/>
        <c:lblAlgn val="ctr"/>
        <c:lblOffset val="100"/>
        <c:noMultiLvlLbl val="0"/>
      </c:catAx>
      <c:valAx>
        <c:axId val="2142081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2073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'Expo(lambda)'!$H$2</c:f>
          <c:strCache>
            <c:ptCount val="1"/>
            <c:pt idx="0">
              <c:v>Expo Dist - lambda = 5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'Expo(lambda)'!$E$3:$E$102</c:f>
              <c:numCache>
                <c:formatCode>General</c:formatCode>
                <c:ptCount val="100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  <c:pt idx="70">
                  <c:v>0.71</c:v>
                </c:pt>
                <c:pt idx="71">
                  <c:v>0.72</c:v>
                </c:pt>
                <c:pt idx="72">
                  <c:v>0.73</c:v>
                </c:pt>
                <c:pt idx="73">
                  <c:v>0.74</c:v>
                </c:pt>
                <c:pt idx="74">
                  <c:v>0.75</c:v>
                </c:pt>
                <c:pt idx="75">
                  <c:v>0.76</c:v>
                </c:pt>
                <c:pt idx="76">
                  <c:v>0.77</c:v>
                </c:pt>
                <c:pt idx="77">
                  <c:v>0.78</c:v>
                </c:pt>
                <c:pt idx="78">
                  <c:v>0.79</c:v>
                </c:pt>
                <c:pt idx="79">
                  <c:v>0.8</c:v>
                </c:pt>
                <c:pt idx="80">
                  <c:v>0.81</c:v>
                </c:pt>
                <c:pt idx="81">
                  <c:v>0.82</c:v>
                </c:pt>
                <c:pt idx="82">
                  <c:v>0.83</c:v>
                </c:pt>
                <c:pt idx="83">
                  <c:v>0.84</c:v>
                </c:pt>
                <c:pt idx="84">
                  <c:v>0.85</c:v>
                </c:pt>
                <c:pt idx="85">
                  <c:v>0.86</c:v>
                </c:pt>
                <c:pt idx="86">
                  <c:v>0.87</c:v>
                </c:pt>
                <c:pt idx="87">
                  <c:v>0.88</c:v>
                </c:pt>
                <c:pt idx="88">
                  <c:v>0.89</c:v>
                </c:pt>
                <c:pt idx="89">
                  <c:v>0.9</c:v>
                </c:pt>
                <c:pt idx="90">
                  <c:v>0.91</c:v>
                </c:pt>
                <c:pt idx="91">
                  <c:v>0.92</c:v>
                </c:pt>
                <c:pt idx="92">
                  <c:v>0.93</c:v>
                </c:pt>
                <c:pt idx="93">
                  <c:v>0.94</c:v>
                </c:pt>
                <c:pt idx="94">
                  <c:v>0.95</c:v>
                </c:pt>
                <c:pt idx="95">
                  <c:v>0.96</c:v>
                </c:pt>
                <c:pt idx="96">
                  <c:v>0.97</c:v>
                </c:pt>
                <c:pt idx="97">
                  <c:v>0.98</c:v>
                </c:pt>
                <c:pt idx="98">
                  <c:v>0.99</c:v>
                </c:pt>
                <c:pt idx="99">
                  <c:v>1</c:v>
                </c:pt>
              </c:numCache>
            </c:numRef>
          </c:cat>
          <c:val>
            <c:numRef>
              <c:f>'Expo(lambda)'!$F$3:$F$102</c:f>
              <c:numCache>
                <c:formatCode>_(* #,##0.00_);_(* \(#,##0.00\);_(* "-"??_);_(@_)</c:formatCode>
                <c:ptCount val="100"/>
                <c:pt idx="0">
                  <c:v>4.8770575499285991E-2</c:v>
                </c:pt>
                <c:pt idx="1">
                  <c:v>4.6392006464754436E-2</c:v>
                </c:pt>
                <c:pt idx="2">
                  <c:v>4.4129441610901765E-2</c:v>
                </c:pt>
                <c:pt idx="3">
                  <c:v>4.1977223347075959E-2</c:v>
                </c:pt>
                <c:pt idx="4">
                  <c:v>3.992997000657697E-2</c:v>
                </c:pt>
                <c:pt idx="5">
                  <c:v>3.7982562389687002E-2</c:v>
                </c:pt>
                <c:pt idx="6">
                  <c:v>3.6130130963004492E-2</c:v>
                </c:pt>
                <c:pt idx="7">
                  <c:v>3.4368043683074112E-2</c:v>
                </c:pt>
                <c:pt idx="8">
                  <c:v>3.2691894413865941E-2</c:v>
                </c:pt>
                <c:pt idx="9">
                  <c:v>3.1097491909139907E-2</c:v>
                </c:pt>
                <c:pt idx="10">
                  <c:v>2.9580849332146775E-2</c:v>
                </c:pt>
                <c:pt idx="11">
                  <c:v>2.8138174286460149E-2</c:v>
                </c:pt>
                <c:pt idx="12">
                  <c:v>2.6765859333010456E-2</c:v>
                </c:pt>
                <c:pt idx="13">
                  <c:v>2.5460472969606629E-2</c:v>
                </c:pt>
                <c:pt idx="14">
                  <c:v>2.4218751050394727E-2</c:v>
                </c:pt>
                <c:pt idx="15">
                  <c:v>2.3037588623793126E-2</c:v>
                </c:pt>
                <c:pt idx="16">
                  <c:v>2.1914032168494968E-2</c:v>
                </c:pt>
                <c:pt idx="17">
                  <c:v>2.0845272208127374E-2</c:v>
                </c:pt>
                <c:pt idx="18">
                  <c:v>1.9828636286097989E-2</c:v>
                </c:pt>
                <c:pt idx="19">
                  <c:v>1.8861582283058898E-2</c:v>
                </c:pt>
                <c:pt idx="20">
                  <c:v>1.7941692060287062E-2</c:v>
                </c:pt>
                <c:pt idx="21">
                  <c:v>1.7066665413075777E-2</c:v>
                </c:pt>
                <c:pt idx="22">
                  <c:v>1.6234314319026333E-2</c:v>
                </c:pt>
                <c:pt idx="23">
                  <c:v>1.544255746685097E-2</c:v>
                </c:pt>
                <c:pt idx="24">
                  <c:v>1.4689415052012045E-2</c:v>
                </c:pt>
                <c:pt idx="25">
                  <c:v>1.397300382617761E-2</c:v>
                </c:pt>
                <c:pt idx="26">
                  <c:v>1.3291532388121086E-2</c:v>
                </c:pt>
                <c:pt idx="27">
                  <c:v>1.264329670428499E-2</c:v>
                </c:pt>
                <c:pt idx="28">
                  <c:v>1.202667584780881E-2</c:v>
                </c:pt>
                <c:pt idx="29">
                  <c:v>1.1440127945367862E-2</c:v>
                </c:pt>
                <c:pt idx="30">
                  <c:v>1.0882186321686693E-2</c:v>
                </c:pt>
                <c:pt idx="31">
                  <c:v>1.0351455832087741E-2</c:v>
                </c:pt>
                <c:pt idx="32">
                  <c:v>9.8466093739012495E-3</c:v>
                </c:pt>
                <c:pt idx="33">
                  <c:v>9.3663845680195257E-3</c:v>
                </c:pt>
                <c:pt idx="34">
                  <c:v>8.9095806022894131E-3</c:v>
                </c:pt>
                <c:pt idx="35">
                  <c:v>8.4750552288586078E-3</c:v>
                </c:pt>
                <c:pt idx="36">
                  <c:v>8.0617219079589519E-3</c:v>
                </c:pt>
                <c:pt idx="37">
                  <c:v>7.6685470909925169E-3</c:v>
                </c:pt>
                <c:pt idx="38">
                  <c:v>7.2945476361215844E-3</c:v>
                </c:pt>
                <c:pt idx="39">
                  <c:v>6.9387883499008041E-3</c:v>
                </c:pt>
                <c:pt idx="40">
                  <c:v>6.600379648808441E-3</c:v>
                </c:pt>
                <c:pt idx="41">
                  <c:v>6.2784753348223976E-3</c:v>
                </c:pt>
                <c:pt idx="42">
                  <c:v>5.972270479484898E-3</c:v>
                </c:pt>
                <c:pt idx="43">
                  <c:v>5.6809994111630679E-3</c:v>
                </c:pt>
                <c:pt idx="44">
                  <c:v>5.4039338004695514E-3</c:v>
                </c:pt>
                <c:pt idx="45">
                  <c:v>5.1403808390606542E-3</c:v>
                </c:pt>
                <c:pt idx="46">
                  <c:v>4.8896815072539956E-3</c:v>
                </c:pt>
                <c:pt idx="47">
                  <c:v>4.6512089261372402E-3</c:v>
                </c:pt>
                <c:pt idx="48">
                  <c:v>4.4243667900419892E-3</c:v>
                </c:pt>
                <c:pt idx="49">
                  <c:v>4.2085878754716255E-3</c:v>
                </c:pt>
                <c:pt idx="50">
                  <c:v>4.0033326227456589E-3</c:v>
                </c:pt>
                <c:pt idx="51">
                  <c:v>3.8080877868192919E-3</c:v>
                </c:pt>
                <c:pt idx="52">
                  <c:v>3.62236515390435E-3</c:v>
                </c:pt>
                <c:pt idx="53">
                  <c:v>3.445700320679812E-3</c:v>
                </c:pt>
                <c:pt idx="54">
                  <c:v>3.2776515330421585E-3</c:v>
                </c:pt>
                <c:pt idx="55">
                  <c:v>3.1177985814896392E-3</c:v>
                </c:pt>
                <c:pt idx="56">
                  <c:v>2.965741750379447E-3</c:v>
                </c:pt>
                <c:pt idx="57">
                  <c:v>2.8211008184312325E-3</c:v>
                </c:pt>
                <c:pt idx="58">
                  <c:v>2.6835141079748492E-3</c:v>
                </c:pt>
                <c:pt idx="59">
                  <c:v>2.5526375805684509E-3</c:v>
                </c:pt>
                <c:pt idx="60">
                  <c:v>2.428143976722974E-3</c:v>
                </c:pt>
                <c:pt idx="61">
                  <c:v>2.3097219975831695E-3</c:v>
                </c:pt>
                <c:pt idx="62">
                  <c:v>2.1970755265176001E-3</c:v>
                </c:pt>
                <c:pt idx="63">
                  <c:v>2.0899228886740451E-3</c:v>
                </c:pt>
                <c:pt idx="64">
                  <c:v>1.9879961466441332E-3</c:v>
                </c:pt>
                <c:pt idx="65">
                  <c:v>1.8910404304820494E-3</c:v>
                </c:pt>
                <c:pt idx="66">
                  <c:v>1.7988133003949969E-3</c:v>
                </c:pt>
                <c:pt idx="67">
                  <c:v>1.7110841405189037E-3</c:v>
                </c:pt>
                <c:pt idx="68">
                  <c:v>1.6276335822581478E-3</c:v>
                </c:pt>
                <c:pt idx="69">
                  <c:v>1.5482529557494518E-3</c:v>
                </c:pt>
                <c:pt idx="70">
                  <c:v>1.4727437680790434E-3</c:v>
                </c:pt>
                <c:pt idx="71">
                  <c:v>1.4009172069469056E-3</c:v>
                </c:pt>
                <c:pt idx="72">
                  <c:v>1.3325936685372186E-3</c:v>
                </c:pt>
                <c:pt idx="73">
                  <c:v>1.2676023084159382E-3</c:v>
                </c:pt>
                <c:pt idx="74">
                  <c:v>1.2057806143302985E-3</c:v>
                </c:pt>
                <c:pt idx="75">
                  <c:v>1.1469739998434259E-3</c:v>
                </c:pt>
                <c:pt idx="76">
                  <c:v>1.0910354177884329E-3</c:v>
                </c:pt>
                <c:pt idx="77">
                  <c:v>1.0378249925728777E-3</c:v>
                </c:pt>
                <c:pt idx="78">
                  <c:v>9.8720967041743268E-4</c:v>
                </c:pt>
                <c:pt idx="79">
                  <c:v>9.3906288665268622E-4</c:v>
                </c:pt>
                <c:pt idx="80">
                  <c:v>8.9326424924074388E-4</c:v>
                </c:pt>
                <c:pt idx="81">
                  <c:v>8.4969923773225986E-4</c:v>
                </c:pt>
                <c:pt idx="82">
                  <c:v>8.0825891690672336E-4</c:v>
                </c:pt>
                <c:pt idx="83">
                  <c:v>7.6883966437679696E-4</c:v>
                </c:pt>
                <c:pt idx="84">
                  <c:v>7.3134291147847197E-4</c:v>
                </c:pt>
                <c:pt idx="85">
                  <c:v>6.9567489679833727E-4</c:v>
                </c:pt>
                <c:pt idx="86">
                  <c:v>6.6174643172101089E-4</c:v>
                </c:pt>
                <c:pt idx="87">
                  <c:v>6.2947267741142454E-4</c:v>
                </c:pt>
                <c:pt idx="88">
                  <c:v>5.9877293267296405E-4</c:v>
                </c:pt>
                <c:pt idx="89">
                  <c:v>5.6957043215322134E-4</c:v>
                </c:pt>
                <c:pt idx="90">
                  <c:v>5.4179215438965311E-4</c:v>
                </c:pt>
                <c:pt idx="91">
                  <c:v>5.153686392190826E-4</c:v>
                </c:pt>
                <c:pt idx="92">
                  <c:v>4.9023381409007971E-4</c:v>
                </c:pt>
                <c:pt idx="93">
                  <c:v>4.6632482884767512E-4</c:v>
                </c:pt>
                <c:pt idx="94">
                  <c:v>4.4358189857518493E-4</c:v>
                </c:pt>
                <c:pt idx="95">
                  <c:v>4.2194815410057096E-4</c:v>
                </c:pt>
                <c:pt idx="96">
                  <c:v>4.0136949979419079E-4</c:v>
                </c:pt>
                <c:pt idx="97">
                  <c:v>3.8179447830144486E-4</c:v>
                </c:pt>
                <c:pt idx="98">
                  <c:v>3.6317414187225783E-4</c:v>
                </c:pt>
                <c:pt idx="99">
                  <c:v>3.4546192996665059E-4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0B-4C16-B5E9-A9BF073756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42073232"/>
        <c:axId val="2142081392"/>
      </c:barChart>
      <c:catAx>
        <c:axId val="2142073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2081392"/>
        <c:crosses val="autoZero"/>
        <c:auto val="1"/>
        <c:lblAlgn val="ctr"/>
        <c:lblOffset val="100"/>
        <c:noMultiLvlLbl val="0"/>
      </c:catAx>
      <c:valAx>
        <c:axId val="2142081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2073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'Normal(mu, sigma)'!$H$2</c:f>
          <c:strCache>
            <c:ptCount val="1"/>
            <c:pt idx="0">
              <c:v>Normal/Gaussian Dist. - mu = 50, sigma = 10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'Normal(mu, sigma)'!$F$3:$F$102</c:f>
              <c:numCache>
                <c:formatCode>_(* #,##0.00_);_(* \(#,##0.00\);_(* "-"??_);_(@_)</c:formatCode>
                <c:ptCount val="100"/>
                <c:pt idx="0">
                  <c:v>2.438960745893352E-7</c:v>
                </c:pt>
                <c:pt idx="1">
                  <c:v>3.9612990910320755E-7</c:v>
                </c:pt>
                <c:pt idx="2">
                  <c:v>6.3698251788670893E-7</c:v>
                </c:pt>
                <c:pt idx="3">
                  <c:v>1.014085206548676E-6</c:v>
                </c:pt>
                <c:pt idx="4">
                  <c:v>1.5983741106905478E-6</c:v>
                </c:pt>
                <c:pt idx="5">
                  <c:v>2.4942471290053532E-6</c:v>
                </c:pt>
                <c:pt idx="6">
                  <c:v>3.8535196742087128E-6</c:v>
                </c:pt>
                <c:pt idx="7">
                  <c:v>5.8943067756539858E-6</c:v>
                </c:pt>
                <c:pt idx="8">
                  <c:v>8.9261657177132918E-6</c:v>
                </c:pt>
                <c:pt idx="9">
                  <c:v>1.3383022576488536E-5</c:v>
                </c:pt>
                <c:pt idx="10">
                  <c:v>1.9865547139277272E-5</c:v>
                </c:pt>
                <c:pt idx="11">
                  <c:v>2.9194692579146026E-5</c:v>
                </c:pt>
                <c:pt idx="12">
                  <c:v>4.2478027055075142E-5</c:v>
                </c:pt>
                <c:pt idx="13">
                  <c:v>6.1190193011377187E-5</c:v>
                </c:pt>
                <c:pt idx="14">
                  <c:v>8.726826950457601E-5</c:v>
                </c:pt>
                <c:pt idx="15">
                  <c:v>1.2322191684730198E-4</c:v>
                </c:pt>
                <c:pt idx="16">
                  <c:v>1.722568939053681E-4</c:v>
                </c:pt>
                <c:pt idx="17">
                  <c:v>2.3840882014648405E-4</c:v>
                </c:pt>
                <c:pt idx="18">
                  <c:v>3.2668190561999186E-4</c:v>
                </c:pt>
                <c:pt idx="19">
                  <c:v>4.4318484119380076E-4</c:v>
                </c:pt>
                <c:pt idx="20">
                  <c:v>5.9525324197758534E-4</c:v>
                </c:pt>
                <c:pt idx="21">
                  <c:v>7.9154515829799694E-4</c:v>
                </c:pt>
                <c:pt idx="22">
                  <c:v>1.0420934814422591E-3</c:v>
                </c:pt>
                <c:pt idx="23">
                  <c:v>1.3582969233685612E-3</c:v>
                </c:pt>
                <c:pt idx="24">
                  <c:v>1.752830049356854E-3</c:v>
                </c:pt>
                <c:pt idx="25">
                  <c:v>2.2394530294842902E-3</c:v>
                </c:pt>
                <c:pt idx="26">
                  <c:v>2.8327037741601186E-3</c:v>
                </c:pt>
                <c:pt idx="27">
                  <c:v>3.5474592846231421E-3</c:v>
                </c:pt>
                <c:pt idx="28">
                  <c:v>4.3983595980427196E-3</c:v>
                </c:pt>
                <c:pt idx="29">
                  <c:v>5.3990966513188061E-3</c:v>
                </c:pt>
                <c:pt idx="30">
                  <c:v>6.5615814774676604E-3</c:v>
                </c:pt>
                <c:pt idx="31">
                  <c:v>7.8950158300894139E-3</c:v>
                </c:pt>
                <c:pt idx="32">
                  <c:v>9.4049077376886937E-3</c:v>
                </c:pt>
                <c:pt idx="33">
                  <c:v>1.1092083467945555E-2</c:v>
                </c:pt>
                <c:pt idx="34">
                  <c:v>1.2951759566589173E-2</c:v>
                </c:pt>
                <c:pt idx="35">
                  <c:v>1.4972746563574486E-2</c:v>
                </c:pt>
                <c:pt idx="36">
                  <c:v>1.7136859204780735E-2</c:v>
                </c:pt>
                <c:pt idx="37">
                  <c:v>1.9418605498321296E-2</c:v>
                </c:pt>
                <c:pt idx="38">
                  <c:v>2.1785217703255054E-2</c:v>
                </c:pt>
                <c:pt idx="39">
                  <c:v>2.4197072451914336E-2</c:v>
                </c:pt>
                <c:pt idx="40">
                  <c:v>2.6608524989875482E-2</c:v>
                </c:pt>
                <c:pt idx="41">
                  <c:v>2.8969155276148274E-2</c:v>
                </c:pt>
                <c:pt idx="42">
                  <c:v>3.1225393336676129E-2</c:v>
                </c:pt>
                <c:pt idx="43">
                  <c:v>3.3322460289179963E-2</c:v>
                </c:pt>
                <c:pt idx="44">
                  <c:v>3.5206532676429952E-2</c:v>
                </c:pt>
                <c:pt idx="45">
                  <c:v>3.6827014030332332E-2</c:v>
                </c:pt>
                <c:pt idx="46">
                  <c:v>3.8138781546052408E-2</c:v>
                </c:pt>
                <c:pt idx="47">
                  <c:v>3.9104269397545591E-2</c:v>
                </c:pt>
                <c:pt idx="48">
                  <c:v>3.9695254747701178E-2</c:v>
                </c:pt>
                <c:pt idx="49">
                  <c:v>3.9894228040143274E-2</c:v>
                </c:pt>
                <c:pt idx="50">
                  <c:v>3.9695254747701178E-2</c:v>
                </c:pt>
                <c:pt idx="51">
                  <c:v>3.9104269397545591E-2</c:v>
                </c:pt>
                <c:pt idx="52">
                  <c:v>3.8138781546052408E-2</c:v>
                </c:pt>
                <c:pt idx="53">
                  <c:v>3.6827014030332332E-2</c:v>
                </c:pt>
                <c:pt idx="54">
                  <c:v>3.5206532676429952E-2</c:v>
                </c:pt>
                <c:pt idx="55">
                  <c:v>3.3322460289179963E-2</c:v>
                </c:pt>
                <c:pt idx="56">
                  <c:v>3.1225393336676129E-2</c:v>
                </c:pt>
                <c:pt idx="57">
                  <c:v>2.8969155276148274E-2</c:v>
                </c:pt>
                <c:pt idx="58">
                  <c:v>2.6608524989875482E-2</c:v>
                </c:pt>
                <c:pt idx="59">
                  <c:v>2.4197072451914336E-2</c:v>
                </c:pt>
                <c:pt idx="60">
                  <c:v>2.1785217703255054E-2</c:v>
                </c:pt>
                <c:pt idx="61">
                  <c:v>1.9418605498321296E-2</c:v>
                </c:pt>
                <c:pt idx="62">
                  <c:v>1.7136859204780735E-2</c:v>
                </c:pt>
                <c:pt idx="63">
                  <c:v>1.4972746563574486E-2</c:v>
                </c:pt>
                <c:pt idx="64">
                  <c:v>1.2951759566589173E-2</c:v>
                </c:pt>
                <c:pt idx="65">
                  <c:v>1.1092083467945555E-2</c:v>
                </c:pt>
                <c:pt idx="66">
                  <c:v>9.4049077376886937E-3</c:v>
                </c:pt>
                <c:pt idx="67">
                  <c:v>7.8950158300894139E-3</c:v>
                </c:pt>
                <c:pt idx="68">
                  <c:v>6.5615814774676604E-3</c:v>
                </c:pt>
                <c:pt idx="69">
                  <c:v>5.3990966513188061E-3</c:v>
                </c:pt>
                <c:pt idx="70">
                  <c:v>4.3983595980427196E-3</c:v>
                </c:pt>
                <c:pt idx="71">
                  <c:v>3.5474592846231421E-3</c:v>
                </c:pt>
                <c:pt idx="72">
                  <c:v>2.8327037741601186E-3</c:v>
                </c:pt>
                <c:pt idx="73">
                  <c:v>2.2394530294842902E-3</c:v>
                </c:pt>
                <c:pt idx="74">
                  <c:v>1.752830049356854E-3</c:v>
                </c:pt>
                <c:pt idx="75">
                  <c:v>1.3582969233685612E-3</c:v>
                </c:pt>
                <c:pt idx="76">
                  <c:v>1.0420934814422591E-3</c:v>
                </c:pt>
                <c:pt idx="77">
                  <c:v>7.9154515829799694E-4</c:v>
                </c:pt>
                <c:pt idx="78">
                  <c:v>5.9525324197758534E-4</c:v>
                </c:pt>
                <c:pt idx="79">
                  <c:v>4.4318484119380076E-4</c:v>
                </c:pt>
                <c:pt idx="80">
                  <c:v>3.2668190561999186E-4</c:v>
                </c:pt>
                <c:pt idx="81">
                  <c:v>2.3840882014648405E-4</c:v>
                </c:pt>
                <c:pt idx="82">
                  <c:v>1.722568939053681E-4</c:v>
                </c:pt>
                <c:pt idx="83">
                  <c:v>1.2322191684730198E-4</c:v>
                </c:pt>
                <c:pt idx="84">
                  <c:v>8.726826950457601E-5</c:v>
                </c:pt>
                <c:pt idx="85">
                  <c:v>6.1190193011377187E-5</c:v>
                </c:pt>
                <c:pt idx="86">
                  <c:v>4.2478027055075142E-5</c:v>
                </c:pt>
                <c:pt idx="87">
                  <c:v>2.9194692579146026E-5</c:v>
                </c:pt>
                <c:pt idx="88">
                  <c:v>1.9865547139277272E-5</c:v>
                </c:pt>
                <c:pt idx="89">
                  <c:v>1.3383022576488536E-5</c:v>
                </c:pt>
                <c:pt idx="90">
                  <c:v>8.9261657177132918E-6</c:v>
                </c:pt>
                <c:pt idx="91">
                  <c:v>5.8943067756539858E-6</c:v>
                </c:pt>
                <c:pt idx="92">
                  <c:v>3.8535196742087128E-6</c:v>
                </c:pt>
                <c:pt idx="93">
                  <c:v>2.4942471290053532E-6</c:v>
                </c:pt>
                <c:pt idx="94">
                  <c:v>1.5983741106905478E-6</c:v>
                </c:pt>
                <c:pt idx="95">
                  <c:v>1.014085206548676E-6</c:v>
                </c:pt>
                <c:pt idx="96">
                  <c:v>6.3698251788670893E-7</c:v>
                </c:pt>
                <c:pt idx="97">
                  <c:v>3.9612990910320755E-7</c:v>
                </c:pt>
                <c:pt idx="98">
                  <c:v>2.438960745893352E-7</c:v>
                </c:pt>
                <c:pt idx="99">
                  <c:v>1.4867195147342977E-7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DA-453A-863A-AF9150AE60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42073232"/>
        <c:axId val="2142081392"/>
      </c:lineChart>
      <c:catAx>
        <c:axId val="21420732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2081392"/>
        <c:crosses val="autoZero"/>
        <c:auto val="1"/>
        <c:lblAlgn val="ctr"/>
        <c:lblOffset val="100"/>
        <c:noMultiLvlLbl val="0"/>
      </c:catAx>
      <c:valAx>
        <c:axId val="2142081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2073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't(df)'!$H$2</c:f>
          <c:strCache>
            <c:ptCount val="1"/>
            <c:pt idx="0">
              <c:v>t-Dist - d.f. = 5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't(df)'!$E$3:$E$102</c:f>
              <c:numCache>
                <c:formatCode>0.0</c:formatCode>
                <c:ptCount val="100"/>
                <c:pt idx="0">
                  <c:v>-9.9</c:v>
                </c:pt>
                <c:pt idx="1">
                  <c:v>-9.6999999999999993</c:v>
                </c:pt>
                <c:pt idx="2">
                  <c:v>-9.5</c:v>
                </c:pt>
                <c:pt idx="3">
                  <c:v>-9.3000000000000007</c:v>
                </c:pt>
                <c:pt idx="4">
                  <c:v>-9.1</c:v>
                </c:pt>
                <c:pt idx="5">
                  <c:v>-8.8999999999999897</c:v>
                </c:pt>
                <c:pt idx="6">
                  <c:v>-8.6999999999999904</c:v>
                </c:pt>
                <c:pt idx="7">
                  <c:v>-8.4999999999999893</c:v>
                </c:pt>
                <c:pt idx="8">
                  <c:v>-8.2999999999999901</c:v>
                </c:pt>
                <c:pt idx="9">
                  <c:v>-8.0999999999999908</c:v>
                </c:pt>
                <c:pt idx="10">
                  <c:v>-7.8999999999999897</c:v>
                </c:pt>
                <c:pt idx="11">
                  <c:v>-7.6999999999999904</c:v>
                </c:pt>
                <c:pt idx="12">
                  <c:v>-7.4999999999999902</c:v>
                </c:pt>
                <c:pt idx="13">
                  <c:v>-7.2999999999999901</c:v>
                </c:pt>
                <c:pt idx="14">
                  <c:v>-7.0999999999999899</c:v>
                </c:pt>
                <c:pt idx="15">
                  <c:v>-6.8999999999999799</c:v>
                </c:pt>
                <c:pt idx="16">
                  <c:v>-6.6999999999999797</c:v>
                </c:pt>
                <c:pt idx="17">
                  <c:v>-6.4999999999999796</c:v>
                </c:pt>
                <c:pt idx="18">
                  <c:v>-6.2999999999999803</c:v>
                </c:pt>
                <c:pt idx="19">
                  <c:v>-6.0999999999999801</c:v>
                </c:pt>
                <c:pt idx="20">
                  <c:v>-5.8999999999999799</c:v>
                </c:pt>
                <c:pt idx="21">
                  <c:v>-5.6999999999999797</c:v>
                </c:pt>
                <c:pt idx="22">
                  <c:v>-5.4999999999999796</c:v>
                </c:pt>
                <c:pt idx="23">
                  <c:v>-5.2999999999999803</c:v>
                </c:pt>
                <c:pt idx="24">
                  <c:v>-5.0999999999999703</c:v>
                </c:pt>
                <c:pt idx="25">
                  <c:v>-4.8999999999999702</c:v>
                </c:pt>
                <c:pt idx="26">
                  <c:v>-4.69999999999997</c:v>
                </c:pt>
                <c:pt idx="27">
                  <c:v>-4.4999999999999698</c:v>
                </c:pt>
                <c:pt idx="28">
                  <c:v>-4.2999999999999696</c:v>
                </c:pt>
                <c:pt idx="29">
                  <c:v>-4.0999999999999703</c:v>
                </c:pt>
                <c:pt idx="30">
                  <c:v>-3.8999999999999702</c:v>
                </c:pt>
                <c:pt idx="31">
                  <c:v>-3.69999999999997</c:v>
                </c:pt>
                <c:pt idx="32">
                  <c:v>-3.4999999999999698</c:v>
                </c:pt>
                <c:pt idx="33">
                  <c:v>-3.2999999999999599</c:v>
                </c:pt>
                <c:pt idx="34">
                  <c:v>-3.0999999999999601</c:v>
                </c:pt>
                <c:pt idx="35">
                  <c:v>-2.8999999999999599</c:v>
                </c:pt>
                <c:pt idx="36">
                  <c:v>-2.6999999999999602</c:v>
                </c:pt>
                <c:pt idx="37">
                  <c:v>-2.49999999999996</c:v>
                </c:pt>
                <c:pt idx="38">
                  <c:v>-2.2999999999999599</c:v>
                </c:pt>
                <c:pt idx="39">
                  <c:v>-2.0999999999999601</c:v>
                </c:pt>
                <c:pt idx="40">
                  <c:v>-1.8999999999999599</c:v>
                </c:pt>
                <c:pt idx="41">
                  <c:v>-1.69999999999996</c:v>
                </c:pt>
                <c:pt idx="42">
                  <c:v>-1.49999999999996</c:v>
                </c:pt>
                <c:pt idx="43">
                  <c:v>-1.2999999999999501</c:v>
                </c:pt>
                <c:pt idx="44">
                  <c:v>-1.0999999999999499</c:v>
                </c:pt>
                <c:pt idx="45">
                  <c:v>-0.89999999999995095</c:v>
                </c:pt>
                <c:pt idx="46">
                  <c:v>-0.69999999999995</c:v>
                </c:pt>
                <c:pt idx="47">
                  <c:v>-0.49999999999994998</c:v>
                </c:pt>
                <c:pt idx="48">
                  <c:v>-0.29999999999995097</c:v>
                </c:pt>
                <c:pt idx="49">
                  <c:v>-9.9999999999949907E-2</c:v>
                </c:pt>
                <c:pt idx="50">
                  <c:v>0.100000000000099</c:v>
                </c:pt>
                <c:pt idx="51">
                  <c:v>0.30000000000010002</c:v>
                </c:pt>
                <c:pt idx="52">
                  <c:v>0.50000000000009903</c:v>
                </c:pt>
                <c:pt idx="53">
                  <c:v>0.70000000000009899</c:v>
                </c:pt>
                <c:pt idx="54">
                  <c:v>0.90000000000010005</c:v>
                </c:pt>
                <c:pt idx="55">
                  <c:v>1.1000000000001</c:v>
                </c:pt>
                <c:pt idx="56">
                  <c:v>1.3000000000001</c:v>
                </c:pt>
                <c:pt idx="57">
                  <c:v>1.5000000000000999</c:v>
                </c:pt>
                <c:pt idx="58">
                  <c:v>1.7000000000001001</c:v>
                </c:pt>
                <c:pt idx="59">
                  <c:v>1.9000000000001001</c:v>
                </c:pt>
                <c:pt idx="60">
                  <c:v>2.1000000000001</c:v>
                </c:pt>
                <c:pt idx="61">
                  <c:v>2.3000000000001002</c:v>
                </c:pt>
                <c:pt idx="62">
                  <c:v>2.5000000000000999</c:v>
                </c:pt>
                <c:pt idx="63">
                  <c:v>2.7000000000001001</c:v>
                </c:pt>
                <c:pt idx="64">
                  <c:v>2.9000000000000998</c:v>
                </c:pt>
                <c:pt idx="65">
                  <c:v>3.1000000000001</c:v>
                </c:pt>
                <c:pt idx="66">
                  <c:v>3.3000000000001002</c:v>
                </c:pt>
                <c:pt idx="67">
                  <c:v>3.5000000000000999</c:v>
                </c:pt>
                <c:pt idx="68">
                  <c:v>3.7000000000001001</c:v>
                </c:pt>
                <c:pt idx="69">
                  <c:v>3.9000000000000998</c:v>
                </c:pt>
                <c:pt idx="70">
                  <c:v>4.1000000000001</c:v>
                </c:pt>
                <c:pt idx="71">
                  <c:v>4.3000000000001002</c:v>
                </c:pt>
                <c:pt idx="72">
                  <c:v>4.5000000000001004</c:v>
                </c:pt>
                <c:pt idx="73">
                  <c:v>4.7000000000000997</c:v>
                </c:pt>
                <c:pt idx="74">
                  <c:v>4.9000000000000998</c:v>
                </c:pt>
                <c:pt idx="75">
                  <c:v>5.1000000000001</c:v>
                </c:pt>
                <c:pt idx="76">
                  <c:v>5.3000000000001002</c:v>
                </c:pt>
                <c:pt idx="77">
                  <c:v>5.5000000000001004</c:v>
                </c:pt>
                <c:pt idx="78">
                  <c:v>5.7000000000000997</c:v>
                </c:pt>
                <c:pt idx="79">
                  <c:v>5.9000000000000998</c:v>
                </c:pt>
                <c:pt idx="80">
                  <c:v>6.1000000000001</c:v>
                </c:pt>
                <c:pt idx="81">
                  <c:v>6.3000000000001002</c:v>
                </c:pt>
                <c:pt idx="82">
                  <c:v>6.5000000000001004</c:v>
                </c:pt>
                <c:pt idx="83">
                  <c:v>6.7000000000000997</c:v>
                </c:pt>
                <c:pt idx="84">
                  <c:v>6.9000000000000998</c:v>
                </c:pt>
                <c:pt idx="85">
                  <c:v>7.1000000000001</c:v>
                </c:pt>
                <c:pt idx="86">
                  <c:v>7.3000000000001002</c:v>
                </c:pt>
                <c:pt idx="87">
                  <c:v>7.5000000000001004</c:v>
                </c:pt>
                <c:pt idx="88">
                  <c:v>7.7000000000000997</c:v>
                </c:pt>
                <c:pt idx="89">
                  <c:v>7.9000000000000998</c:v>
                </c:pt>
                <c:pt idx="90">
                  <c:v>8.1000000000000991</c:v>
                </c:pt>
                <c:pt idx="91">
                  <c:v>8.3000000000001002</c:v>
                </c:pt>
                <c:pt idx="92">
                  <c:v>8.5000000000000995</c:v>
                </c:pt>
                <c:pt idx="93">
                  <c:v>8.7000000000001005</c:v>
                </c:pt>
                <c:pt idx="94">
                  <c:v>8.9000000000000998</c:v>
                </c:pt>
                <c:pt idx="95">
                  <c:v>9.1000000000000991</c:v>
                </c:pt>
                <c:pt idx="96">
                  <c:v>9.3000000000001002</c:v>
                </c:pt>
                <c:pt idx="97">
                  <c:v>9.5000000000000995</c:v>
                </c:pt>
                <c:pt idx="98">
                  <c:v>9.7000000000001005</c:v>
                </c:pt>
                <c:pt idx="99">
                  <c:v>9.9000000000000998</c:v>
                </c:pt>
              </c:numCache>
            </c:numRef>
          </c:cat>
          <c:val>
            <c:numRef>
              <c:f>'t(df)'!$F$3:$F$102</c:f>
              <c:numCache>
                <c:formatCode>_(* #,##0.00_);_(* \(#,##0.00\);_(* "-"??_);_(@_)</c:formatCode>
                <c:ptCount val="100"/>
                <c:pt idx="0">
                  <c:v>4.3411591622687521E-5</c:v>
                </c:pt>
                <c:pt idx="1">
                  <c:v>4.8770182998915367E-5</c:v>
                </c:pt>
                <c:pt idx="2">
                  <c:v>5.4909680584003134E-5</c:v>
                </c:pt>
                <c:pt idx="3">
                  <c:v>6.1961651912105582E-5</c:v>
                </c:pt>
                <c:pt idx="4">
                  <c:v>7.0082879749243788E-5</c:v>
                </c:pt>
                <c:pt idx="5">
                  <c:v>7.9460788143787011E-5</c:v>
                </c:pt>
                <c:pt idx="6">
                  <c:v>9.0320165357032364E-5</c:v>
                </c:pt>
                <c:pt idx="7">
                  <c:v>1.0293152474836157E-4</c:v>
                </c:pt>
                <c:pt idx="8">
                  <c:v>1.1762154257034821E-4</c:v>
                </c:pt>
                <c:pt idx="9">
                  <c:v>1.3478613992266205E-4</c:v>
                </c:pt>
                <c:pt idx="10">
                  <c:v>1.5490694497217954E-4</c:v>
                </c:pt>
                <c:pt idx="11">
                  <c:v>1.7857209473517806E-4</c:v>
                </c:pt>
                <c:pt idx="12">
                  <c:v>2.0650263197001116E-4</c:v>
                </c:pt>
                <c:pt idx="13">
                  <c:v>2.3958614763849555E-4</c:v>
                </c:pt>
                <c:pt idx="14">
                  <c:v>2.789198480503593E-4</c:v>
                </c:pt>
                <c:pt idx="15">
                  <c:v>3.2586593647670006E-4</c:v>
                </c:pt>
                <c:pt idx="16">
                  <c:v>3.8212315830792173E-4</c:v>
                </c:pt>
                <c:pt idx="17">
                  <c:v>4.4981965887894621E-4</c:v>
                </c:pt>
                <c:pt idx="18">
                  <c:v>5.3163407162113091E-4</c:v>
                </c:pt>
                <c:pt idx="19">
                  <c:v>6.3095416852989065E-4</c:v>
                </c:pt>
                <c:pt idx="20">
                  <c:v>7.5208571124567932E-4</c:v>
                </c:pt>
                <c:pt idx="21">
                  <c:v>9.0052868079856373E-4</c:v>
                </c:pt>
                <c:pt idx="22">
                  <c:v>1.0833443094854147E-3</c:v>
                </c:pt>
                <c:pt idx="23">
                  <c:v>1.3096449388495196E-3</c:v>
                </c:pt>
                <c:pt idx="24">
                  <c:v>1.5912505680814298E-3</c:v>
                </c:pt>
                <c:pt idx="25">
                  <c:v>1.9435722247554525E-3</c:v>
                </c:pt>
                <c:pt idx="26">
                  <c:v>2.3868045403493822E-3</c:v>
                </c:pt>
                <c:pt idx="27">
                  <c:v>2.9475401058332014E-3</c:v>
                </c:pt>
                <c:pt idx="28">
                  <c:v>3.6609586202407483E-3</c:v>
                </c:pt>
                <c:pt idx="29">
                  <c:v>4.5737968776918712E-3</c:v>
                </c:pt>
                <c:pt idx="30">
                  <c:v>5.748372854769597E-3</c:v>
                </c:pt>
                <c:pt idx="31">
                  <c:v>7.2680175325696549E-3</c:v>
                </c:pt>
                <c:pt idx="32">
                  <c:v>9.244354092521263E-3</c:v>
                </c:pt>
                <c:pt idx="33">
                  <c:v>1.1826934151171755E-2</c:v>
                </c:pt>
                <c:pt idx="34">
                  <c:v>1.5215745044953604E-2</c:v>
                </c:pt>
                <c:pt idx="35">
                  <c:v>1.9676938890599547E-2</c:v>
                </c:pt>
                <c:pt idx="36">
                  <c:v>2.5561611020545907E-2</c:v>
                </c:pt>
                <c:pt idx="37">
                  <c:v>3.3326238887024601E-2</c:v>
                </c:pt>
                <c:pt idx="38">
                  <c:v>4.3550961350442355E-2</c:v>
                </c:pt>
                <c:pt idx="39">
                  <c:v>5.6947544172173618E-2</c:v>
                </c:pt>
                <c:pt idx="40">
                  <c:v>7.4342030033200154E-2</c:v>
                </c:pt>
                <c:pt idx="41">
                  <c:v>9.6607948713916814E-2</c:v>
                </c:pt>
                <c:pt idx="42">
                  <c:v>0.12451734464636134</c:v>
                </c:pt>
                <c:pt idx="43">
                  <c:v>0.15847673572899165</c:v>
                </c:pt>
                <c:pt idx="44">
                  <c:v>0.19813859080335683</c:v>
                </c:pt>
                <c:pt idx="45">
                  <c:v>0.24194434361360093</c:v>
                </c:pt>
                <c:pt idx="46">
                  <c:v>0.2867654575767089</c:v>
                </c:pt>
                <c:pt idx="47">
                  <c:v>0.32791853132275595</c:v>
                </c:pt>
                <c:pt idx="48">
                  <c:v>0.35982432834901612</c:v>
                </c:pt>
                <c:pt idx="49">
                  <c:v>0.37733812996643357</c:v>
                </c:pt>
                <c:pt idx="50">
                  <c:v>0.37733812996642679</c:v>
                </c:pt>
                <c:pt idx="51">
                  <c:v>0.35982432834899708</c:v>
                </c:pt>
                <c:pt idx="52">
                  <c:v>0.32791853132272802</c:v>
                </c:pt>
                <c:pt idx="53">
                  <c:v>0.28676545757667626</c:v>
                </c:pt>
                <c:pt idx="54">
                  <c:v>0.24194434361356737</c:v>
                </c:pt>
                <c:pt idx="55">
                  <c:v>0.19813859080332522</c:v>
                </c:pt>
                <c:pt idx="56">
                  <c:v>0.15847673572896401</c:v>
                </c:pt>
                <c:pt idx="57">
                  <c:v>0.12451734464633972</c:v>
                </c:pt>
                <c:pt idx="58">
                  <c:v>9.6607948713899328E-2</c:v>
                </c:pt>
                <c:pt idx="59">
                  <c:v>7.434203003318636E-2</c:v>
                </c:pt>
                <c:pt idx="60">
                  <c:v>5.6947544172162932E-2</c:v>
                </c:pt>
                <c:pt idx="61">
                  <c:v>4.3550961350434153E-2</c:v>
                </c:pt>
                <c:pt idx="62">
                  <c:v>3.3326238887018383E-2</c:v>
                </c:pt>
                <c:pt idx="63">
                  <c:v>2.5561611020541192E-2</c:v>
                </c:pt>
                <c:pt idx="64">
                  <c:v>1.967693889059597E-2</c:v>
                </c:pt>
                <c:pt idx="65">
                  <c:v>1.5215745044950888E-2</c:v>
                </c:pt>
                <c:pt idx="66">
                  <c:v>1.1826934151169694E-2</c:v>
                </c:pt>
                <c:pt idx="67">
                  <c:v>9.2443540925197954E-3</c:v>
                </c:pt>
                <c:pt idx="68">
                  <c:v>7.2680175325685317E-3</c:v>
                </c:pt>
                <c:pt idx="69">
                  <c:v>5.7483728547687331E-3</c:v>
                </c:pt>
                <c:pt idx="70">
                  <c:v>4.5737968776911999E-3</c:v>
                </c:pt>
                <c:pt idx="71">
                  <c:v>3.6609586202402231E-3</c:v>
                </c:pt>
                <c:pt idx="72">
                  <c:v>2.9475401058327902E-3</c:v>
                </c:pt>
                <c:pt idx="73">
                  <c:v>2.3868045403490591E-3</c:v>
                </c:pt>
                <c:pt idx="74">
                  <c:v>1.9435722247551975E-3</c:v>
                </c:pt>
                <c:pt idx="75">
                  <c:v>1.5912505680812266E-3</c:v>
                </c:pt>
                <c:pt idx="76">
                  <c:v>1.3096449388493687E-3</c:v>
                </c:pt>
                <c:pt idx="77">
                  <c:v>1.0833443094852922E-3</c:v>
                </c:pt>
                <c:pt idx="78">
                  <c:v>9.0052868079846409E-4</c:v>
                </c:pt>
                <c:pt idx="79">
                  <c:v>7.5208571124559908E-4</c:v>
                </c:pt>
                <c:pt idx="80">
                  <c:v>6.3095416852982495E-4</c:v>
                </c:pt>
                <c:pt idx="81">
                  <c:v>5.3163407162107714E-4</c:v>
                </c:pt>
                <c:pt idx="82">
                  <c:v>4.4981965887890148E-4</c:v>
                </c:pt>
                <c:pt idx="83">
                  <c:v>3.8212315830788503E-4</c:v>
                </c:pt>
                <c:pt idx="84">
                  <c:v>3.2586593647666921E-4</c:v>
                </c:pt>
                <c:pt idx="85">
                  <c:v>2.7891984805033582E-4</c:v>
                </c:pt>
                <c:pt idx="86">
                  <c:v>2.3958614763847544E-4</c:v>
                </c:pt>
                <c:pt idx="87">
                  <c:v>2.0650263196999422E-4</c:v>
                </c:pt>
                <c:pt idx="88">
                  <c:v>1.7857209473516402E-4</c:v>
                </c:pt>
                <c:pt idx="89">
                  <c:v>1.5490694497216761E-4</c:v>
                </c:pt>
                <c:pt idx="90">
                  <c:v>1.3478613992265199E-4</c:v>
                </c:pt>
                <c:pt idx="91">
                  <c:v>1.1762154257033955E-4</c:v>
                </c:pt>
                <c:pt idx="92">
                  <c:v>1.0293152474835408E-4</c:v>
                </c:pt>
                <c:pt idx="93">
                  <c:v>9.0320165357025994E-5</c:v>
                </c:pt>
                <c:pt idx="94">
                  <c:v>7.9460788143781482E-5</c:v>
                </c:pt>
                <c:pt idx="95">
                  <c:v>7.0082879749239519E-5</c:v>
                </c:pt>
                <c:pt idx="96">
                  <c:v>6.1961651912101882E-5</c:v>
                </c:pt>
                <c:pt idx="97">
                  <c:v>5.4909680583999848E-5</c:v>
                </c:pt>
                <c:pt idx="98">
                  <c:v>4.8770182998912507E-5</c:v>
                </c:pt>
                <c:pt idx="99">
                  <c:v>4.3411591622685021E-5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39-4E3D-B6C1-A913C71971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42073232"/>
        <c:axId val="2142081392"/>
      </c:lineChart>
      <c:catAx>
        <c:axId val="2142073232"/>
        <c:scaling>
          <c:orientation val="minMax"/>
        </c:scaling>
        <c:delete val="0"/>
        <c:axPos val="b"/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2081392"/>
        <c:crosses val="autoZero"/>
        <c:auto val="1"/>
        <c:lblAlgn val="ctr"/>
        <c:lblOffset val="100"/>
        <c:noMultiLvlLbl val="0"/>
      </c:catAx>
      <c:valAx>
        <c:axId val="2142081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2073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'ChiSquare(df)'!$H$2</c:f>
          <c:strCache>
            <c:ptCount val="1"/>
            <c:pt idx="0">
              <c:v>Chi-Square Dist. - d.f. = 10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'ChiSquare(df)'!$F$3:$F$102</c:f>
              <c:numCache>
                <c:formatCode>_(* #,##0.00_);_(* \(#,##0.00\);_(* "-"??_);_(@_)</c:formatCode>
                <c:ptCount val="100"/>
                <c:pt idx="0">
                  <c:v>7.8975346316749158E-4</c:v>
                </c:pt>
                <c:pt idx="1">
                  <c:v>7.6641550244050498E-3</c:v>
                </c:pt>
                <c:pt idx="2">
                  <c:v>2.3533259078154699E-2</c:v>
                </c:pt>
                <c:pt idx="3">
                  <c:v>4.5111761078870896E-2</c:v>
                </c:pt>
                <c:pt idx="4">
                  <c:v>6.6800942890542642E-2</c:v>
                </c:pt>
                <c:pt idx="5">
                  <c:v>8.4015677870770411E-2</c:v>
                </c:pt>
                <c:pt idx="6">
                  <c:v>9.4406142704409793E-2</c:v>
                </c:pt>
                <c:pt idx="7">
                  <c:v>9.7683407406582309E-2</c:v>
                </c:pt>
                <c:pt idx="8">
                  <c:v>9.4903810270062214E-2</c:v>
                </c:pt>
                <c:pt idx="9">
                  <c:v>8.7733684883925356E-2</c:v>
                </c:pt>
                <c:pt idx="10">
                  <c:v>7.7909401862698444E-2</c:v>
                </c:pt>
                <c:pt idx="11">
                  <c:v>6.6926308769991685E-2</c:v>
                </c:pt>
                <c:pt idx="12">
                  <c:v>5.5911102591969339E-2</c:v>
                </c:pt>
                <c:pt idx="13">
                  <c:v>4.561309581867487E-2</c:v>
                </c:pt>
                <c:pt idx="14">
                  <c:v>3.6458198227518335E-2</c:v>
                </c:pt>
                <c:pt idx="15">
                  <c:v>2.8626144247681017E-2</c:v>
                </c:pt>
                <c:pt idx="16">
                  <c:v>2.2127450062679698E-2</c:v>
                </c:pt>
                <c:pt idx="17">
                  <c:v>1.686857759609801E-2</c:v>
                </c:pt>
                <c:pt idx="18">
                  <c:v>1.2701517347389361E-2</c:v>
                </c:pt>
                <c:pt idx="19">
                  <c:v>9.4583187005176789E-3</c:v>
                </c:pt>
                <c:pt idx="20">
                  <c:v>6.9730679765471083E-3</c:v>
                </c:pt>
                <c:pt idx="21">
                  <c:v>5.0943666931247229E-3</c:v>
                </c:pt>
                <c:pt idx="22">
                  <c:v>3.6911660452271038E-3</c:v>
                </c:pt>
                <c:pt idx="23">
                  <c:v>2.6542997366377865E-3</c:v>
                </c:pt>
                <c:pt idx="24">
                  <c:v>1.8954738220614974E-3</c:v>
                </c:pt>
                <c:pt idx="25">
                  <c:v>1.3449430873497057E-3</c:v>
                </c:pt>
                <c:pt idx="26">
                  <c:v>9.4867691123313026E-4</c:v>
                </c:pt>
                <c:pt idx="27">
                  <c:v>6.6550015152255521E-4</c:v>
                </c:pt>
                <c:pt idx="28">
                  <c:v>4.6447333219879958E-4</c:v>
                </c:pt>
                <c:pt idx="29">
                  <c:v>3.2263135365426959E-4</c:v>
                </c:pt>
                <c:pt idx="30">
                  <c:v>2.2311105294198837E-4</c:v>
                </c:pt>
                <c:pt idx="31">
                  <c:v>1.5364802521669515E-4</c:v>
                </c:pt>
                <c:pt idx="32">
                  <c:v>1.0539878101128159E-4</c:v>
                </c:pt>
                <c:pt idx="33">
                  <c:v>7.2035778793886623E-5</c:v>
                </c:pt>
                <c:pt idx="34">
                  <c:v>4.9063386824066581E-5</c:v>
                </c:pt>
                <c:pt idx="35">
                  <c:v>3.3307965701686496E-5</c:v>
                </c:pt>
                <c:pt idx="36">
                  <c:v>2.2542275906156858E-5</c:v>
                </c:pt>
                <c:pt idx="37">
                  <c:v>1.5211709052839477E-5</c:v>
                </c:pt>
                <c:pt idx="38">
                  <c:v>1.0236578258594396E-5</c:v>
                </c:pt>
                <c:pt idx="39">
                  <c:v>6.8705120747951988E-6</c:v>
                </c:pt>
                <c:pt idx="40">
                  <c:v>4.5997828305649305E-6</c:v>
                </c:pt>
                <c:pt idx="41">
                  <c:v>3.0722165303765371E-6</c:v>
                </c:pt>
                <c:pt idx="42">
                  <c:v>2.0472988447385292E-6</c:v>
                </c:pt>
                <c:pt idx="43">
                  <c:v>1.3613534115897993E-6</c:v>
                </c:pt>
                <c:pt idx="44">
                  <c:v>9.0336444256818671E-7</c:v>
                </c:pt>
                <c:pt idx="45">
                  <c:v>5.9826972041981019E-7</c:v>
                </c:pt>
                <c:pt idx="46">
                  <c:v>3.9546667002155299E-7</c:v>
                </c:pt>
                <c:pt idx="47">
                  <c:v>2.6093729970057137E-7</c:v>
                </c:pt>
                <c:pt idx="48">
                  <c:v>1.7187325166552504E-7</c:v>
                </c:pt>
                <c:pt idx="49">
                  <c:v>1.1302037650524102E-7</c:v>
                </c:pt>
                <c:pt idx="50">
                  <c:v>7.4201074759368552E-8</c:v>
                </c:pt>
                <c:pt idx="51">
                  <c:v>4.8640230576838885E-8</c:v>
                </c:pt>
                <c:pt idx="52">
                  <c:v>3.1837465542344928E-8</c:v>
                </c:pt>
                <c:pt idx="53">
                  <c:v>2.0809555703965568E-8</c:v>
                </c:pt>
                <c:pt idx="54">
                  <c:v>1.3582861914406256E-8</c:v>
                </c:pt>
                <c:pt idx="55">
                  <c:v>8.8541198169404947E-9</c:v>
                </c:pt>
                <c:pt idx="56">
                  <c:v>5.76428530776695E-9</c:v>
                </c:pt>
                <c:pt idx="57">
                  <c:v>3.7480966307133262E-9</c:v>
                </c:pt>
                <c:pt idx="58">
                  <c:v>2.4342187895729764E-9</c:v>
                </c:pt>
                <c:pt idx="59">
                  <c:v>1.5790988759917756E-9</c:v>
                </c:pt>
                <c:pt idx="60">
                  <c:v>1.0232374387640725E-9</c:v>
                </c:pt>
                <c:pt idx="61">
                  <c:v>6.6233331285235387E-10</c:v>
                </c:pt>
                <c:pt idx="62">
                  <c:v>4.2827704533085649E-10</c:v>
                </c:pt>
                <c:pt idx="63">
                  <c:v>2.7665291780847875E-10</c:v>
                </c:pt>
                <c:pt idx="64">
                  <c:v>1.7853425049972073E-10</c:v>
                </c:pt>
                <c:pt idx="65">
                  <c:v>1.1510564408514905E-10</c:v>
                </c:pt>
                <c:pt idx="66">
                  <c:v>7.4143459647524159E-11</c:v>
                </c:pt>
                <c:pt idx="67">
                  <c:v>4.7715782036940244E-11</c:v>
                </c:pt>
                <c:pt idx="68">
                  <c:v>3.0681424341963986E-11</c:v>
                </c:pt>
                <c:pt idx="69">
                  <c:v>1.9711699662907494E-11</c:v>
                </c:pt>
                <c:pt idx="70">
                  <c:v>1.2653715544079441E-11</c:v>
                </c:pt>
                <c:pt idx="71">
                  <c:v>8.116474287588317E-12</c:v>
                </c:pt>
                <c:pt idx="72">
                  <c:v>5.2021351515258238E-12</c:v>
                </c:pt>
                <c:pt idx="73">
                  <c:v>3.3317302231900231E-12</c:v>
                </c:pt>
                <c:pt idx="74">
                  <c:v>2.13226295710221E-12</c:v>
                </c:pt>
                <c:pt idx="75">
                  <c:v>1.3636497486416416E-12</c:v>
                </c:pt>
                <c:pt idx="76">
                  <c:v>8.7149345002031533E-13</c:v>
                </c:pt>
                <c:pt idx="77">
                  <c:v>5.5658615164678791E-13</c:v>
                </c:pt>
                <c:pt idx="78">
                  <c:v>3.5523447756742519E-13</c:v>
                </c:pt>
                <c:pt idx="79">
                  <c:v>2.2657889361555127E-13</c:v>
                </c:pt>
                <c:pt idx="80">
                  <c:v>1.4442831297208474E-13</c:v>
                </c:pt>
                <c:pt idx="81">
                  <c:v>9.2006907046196236E-14</c:v>
                </c:pt>
                <c:pt idx="82">
                  <c:v>5.8577407983135177E-14</c:v>
                </c:pt>
                <c:pt idx="83">
                  <c:v>3.7272427982735867E-14</c:v>
                </c:pt>
                <c:pt idx="84">
                  <c:v>2.3702764519344763E-14</c:v>
                </c:pt>
                <c:pt idx="85">
                  <c:v>1.5065025221765432E-14</c:v>
                </c:pt>
                <c:pt idx="86">
                  <c:v>9.5698653598179257E-15</c:v>
                </c:pt>
                <c:pt idx="87">
                  <c:v>6.075923047596795E-15</c:v>
                </c:pt>
                <c:pt idx="88">
                  <c:v>3.8556212203704695E-15</c:v>
                </c:pt>
                <c:pt idx="89">
                  <c:v>2.4454406779927857E-15</c:v>
                </c:pt>
                <c:pt idx="90">
                  <c:v>1.5502631455285998E-15</c:v>
                </c:pt>
                <c:pt idx="91">
                  <c:v>9.8229949731840412E-16</c:v>
                </c:pt>
                <c:pt idx="92">
                  <c:v>6.2212430084353651E-16</c:v>
                </c:pt>
                <c:pt idx="93">
                  <c:v>3.9383067964062348E-16</c:v>
                </c:pt>
                <c:pt idx="94">
                  <c:v>2.4919843508722984E-16</c:v>
                </c:pt>
                <c:pt idx="95">
                  <c:v>1.5761174623848561E-16</c:v>
                </c:pt>
                <c:pt idx="96">
                  <c:v>9.9642208481773733E-17</c:v>
                </c:pt>
                <c:pt idx="97">
                  <c:v>6.2967067739674223E-17</c:v>
                </c:pt>
                <c:pt idx="98">
                  <c:v>3.9774314565704052E-17</c:v>
                </c:pt>
                <c:pt idx="99">
                  <c:v>2.5113930312030142E-17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0F-4D52-B879-BAD3311025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42073232"/>
        <c:axId val="2142081392"/>
      </c:lineChart>
      <c:catAx>
        <c:axId val="21420732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2081392"/>
        <c:crosses val="autoZero"/>
        <c:auto val="1"/>
        <c:lblAlgn val="ctr"/>
        <c:lblOffset val="100"/>
        <c:noMultiLvlLbl val="0"/>
      </c:catAx>
      <c:valAx>
        <c:axId val="2142081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2073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'F(df1, df2)'!$H$2</c:f>
          <c:strCache>
            <c:ptCount val="1"/>
            <c:pt idx="0">
              <c:v>Normal/Gaussian Dist. - mu = 6, sigma = 6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'F(df1, df2)'!$E$3:$E$102</c:f>
              <c:numCache>
                <c:formatCode>0.00</c:formatCode>
                <c:ptCount val="100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  <c:pt idx="24">
                  <c:v>1.2</c:v>
                </c:pt>
                <c:pt idx="25">
                  <c:v>1.25</c:v>
                </c:pt>
                <c:pt idx="26">
                  <c:v>1.3</c:v>
                </c:pt>
                <c:pt idx="27">
                  <c:v>1.35</c:v>
                </c:pt>
                <c:pt idx="28">
                  <c:v>1.4</c:v>
                </c:pt>
                <c:pt idx="29">
                  <c:v>1.45</c:v>
                </c:pt>
                <c:pt idx="30">
                  <c:v>1.5</c:v>
                </c:pt>
                <c:pt idx="31">
                  <c:v>1.55</c:v>
                </c:pt>
                <c:pt idx="32">
                  <c:v>1.6</c:v>
                </c:pt>
                <c:pt idx="33">
                  <c:v>1.65</c:v>
                </c:pt>
                <c:pt idx="34">
                  <c:v>1.7</c:v>
                </c:pt>
                <c:pt idx="35">
                  <c:v>1.75</c:v>
                </c:pt>
                <c:pt idx="36">
                  <c:v>1.8</c:v>
                </c:pt>
                <c:pt idx="37">
                  <c:v>1.85</c:v>
                </c:pt>
                <c:pt idx="38">
                  <c:v>1.9</c:v>
                </c:pt>
                <c:pt idx="39">
                  <c:v>1.95</c:v>
                </c:pt>
                <c:pt idx="40">
                  <c:v>2</c:v>
                </c:pt>
                <c:pt idx="41">
                  <c:v>2.0499999999999998</c:v>
                </c:pt>
                <c:pt idx="42">
                  <c:v>2.1</c:v>
                </c:pt>
                <c:pt idx="43">
                  <c:v>2.15</c:v>
                </c:pt>
                <c:pt idx="44">
                  <c:v>2.2000000000000002</c:v>
                </c:pt>
                <c:pt idx="45">
                  <c:v>2.25</c:v>
                </c:pt>
                <c:pt idx="46">
                  <c:v>2.2999999999999998</c:v>
                </c:pt>
                <c:pt idx="47">
                  <c:v>2.35</c:v>
                </c:pt>
                <c:pt idx="48">
                  <c:v>2.4</c:v>
                </c:pt>
                <c:pt idx="49">
                  <c:v>2.4500000000000002</c:v>
                </c:pt>
                <c:pt idx="50">
                  <c:v>2.5</c:v>
                </c:pt>
                <c:pt idx="51">
                  <c:v>2.5499999999999998</c:v>
                </c:pt>
                <c:pt idx="52">
                  <c:v>2.6</c:v>
                </c:pt>
                <c:pt idx="53">
                  <c:v>2.65</c:v>
                </c:pt>
                <c:pt idx="54">
                  <c:v>2.7</c:v>
                </c:pt>
                <c:pt idx="55">
                  <c:v>2.75</c:v>
                </c:pt>
                <c:pt idx="56">
                  <c:v>2.8</c:v>
                </c:pt>
                <c:pt idx="57">
                  <c:v>2.85</c:v>
                </c:pt>
                <c:pt idx="58">
                  <c:v>2.9</c:v>
                </c:pt>
                <c:pt idx="59">
                  <c:v>2.95</c:v>
                </c:pt>
                <c:pt idx="60">
                  <c:v>3</c:v>
                </c:pt>
                <c:pt idx="61">
                  <c:v>3.05</c:v>
                </c:pt>
                <c:pt idx="62">
                  <c:v>3.1</c:v>
                </c:pt>
                <c:pt idx="63">
                  <c:v>3.15</c:v>
                </c:pt>
                <c:pt idx="64">
                  <c:v>3.2</c:v>
                </c:pt>
                <c:pt idx="65">
                  <c:v>3.25</c:v>
                </c:pt>
                <c:pt idx="66">
                  <c:v>3.3</c:v>
                </c:pt>
                <c:pt idx="67">
                  <c:v>3.35</c:v>
                </c:pt>
                <c:pt idx="68">
                  <c:v>3.4</c:v>
                </c:pt>
                <c:pt idx="69">
                  <c:v>3.45</c:v>
                </c:pt>
                <c:pt idx="70">
                  <c:v>3.5</c:v>
                </c:pt>
                <c:pt idx="71">
                  <c:v>3.55</c:v>
                </c:pt>
                <c:pt idx="72">
                  <c:v>3.6</c:v>
                </c:pt>
                <c:pt idx="73">
                  <c:v>3.65</c:v>
                </c:pt>
                <c:pt idx="74">
                  <c:v>3.7</c:v>
                </c:pt>
                <c:pt idx="75">
                  <c:v>3.75</c:v>
                </c:pt>
                <c:pt idx="76">
                  <c:v>3.8</c:v>
                </c:pt>
                <c:pt idx="77">
                  <c:v>3.85</c:v>
                </c:pt>
                <c:pt idx="78">
                  <c:v>3.9</c:v>
                </c:pt>
                <c:pt idx="79">
                  <c:v>3.95</c:v>
                </c:pt>
                <c:pt idx="80">
                  <c:v>4</c:v>
                </c:pt>
                <c:pt idx="81">
                  <c:v>4.05</c:v>
                </c:pt>
                <c:pt idx="82">
                  <c:v>4.0999999999999996</c:v>
                </c:pt>
                <c:pt idx="83">
                  <c:v>4.1500000000000004</c:v>
                </c:pt>
                <c:pt idx="84">
                  <c:v>4.2</c:v>
                </c:pt>
                <c:pt idx="85">
                  <c:v>4.25</c:v>
                </c:pt>
                <c:pt idx="86">
                  <c:v>4.3</c:v>
                </c:pt>
                <c:pt idx="87">
                  <c:v>4.3499999999999996</c:v>
                </c:pt>
                <c:pt idx="88">
                  <c:v>4.4000000000000004</c:v>
                </c:pt>
                <c:pt idx="89">
                  <c:v>4.45</c:v>
                </c:pt>
                <c:pt idx="90">
                  <c:v>4.5</c:v>
                </c:pt>
                <c:pt idx="91">
                  <c:v>4.55</c:v>
                </c:pt>
                <c:pt idx="92">
                  <c:v>4.5999999999999996</c:v>
                </c:pt>
                <c:pt idx="93">
                  <c:v>4.6500000000000004</c:v>
                </c:pt>
                <c:pt idx="94">
                  <c:v>4.7</c:v>
                </c:pt>
                <c:pt idx="95">
                  <c:v>4.75</c:v>
                </c:pt>
                <c:pt idx="96">
                  <c:v>4.8</c:v>
                </c:pt>
                <c:pt idx="97">
                  <c:v>4.8499999999999996</c:v>
                </c:pt>
                <c:pt idx="98">
                  <c:v>4.9000000000000004</c:v>
                </c:pt>
                <c:pt idx="99">
                  <c:v>4.95</c:v>
                </c:pt>
              </c:numCache>
            </c:numRef>
          </c:cat>
          <c:val>
            <c:numRef>
              <c:f>'F(df1, df2)'!$F$3:$F$102</c:f>
              <c:numCache>
                <c:formatCode>_(* #,##0.00_);_(* \(#,##0.00\);_(* "-"??_);_(@_)</c:formatCode>
                <c:ptCount val="100"/>
                <c:pt idx="0">
                  <c:v>0</c:v>
                </c:pt>
                <c:pt idx="1">
                  <c:v>1.0041377527147352E-3</c:v>
                </c:pt>
                <c:pt idx="2">
                  <c:v>5.5217453526369923E-3</c:v>
                </c:pt>
                <c:pt idx="3">
                  <c:v>1.1550064680526058E-2</c:v>
                </c:pt>
                <c:pt idx="4">
                  <c:v>1.7417879374616013E-2</c:v>
                </c:pt>
                <c:pt idx="5">
                  <c:v>2.2426172839506209E-2</c:v>
                </c:pt>
                <c:pt idx="6">
                  <c:v>2.6361147234124992E-2</c:v>
                </c:pt>
                <c:pt idx="7">
                  <c:v>2.9240182299894502E-2</c:v>
                </c:pt>
                <c:pt idx="8">
                  <c:v>3.1180282889375549E-2</c:v>
                </c:pt>
                <c:pt idx="9">
                  <c:v>3.2331327076971395E-2</c:v>
                </c:pt>
                <c:pt idx="10">
                  <c:v>3.2843603709510089E-2</c:v>
                </c:pt>
                <c:pt idx="11">
                  <c:v>3.2853358211230921E-2</c:v>
                </c:pt>
                <c:pt idx="12">
                  <c:v>3.2477618110142492E-2</c:v>
                </c:pt>
                <c:pt idx="13">
                  <c:v>3.1813621153347293E-2</c:v>
                </c:pt>
                <c:pt idx="14">
                  <c:v>3.0940358255084732E-2</c:v>
                </c:pt>
                <c:pt idx="15">
                  <c:v>2.9920931000224027E-2</c:v>
                </c:pt>
                <c:pt idx="16">
                  <c:v>2.8805066884765085E-2</c:v>
                </c:pt>
                <c:pt idx="17">
                  <c:v>2.7631481684155579E-2</c:v>
                </c:pt>
                <c:pt idx="18">
                  <c:v>2.6429961658751555E-2</c:v>
                </c:pt>
                <c:pt idx="19">
                  <c:v>2.5223132468943421E-2</c:v>
                </c:pt>
                <c:pt idx="20">
                  <c:v>2.4027927363478474E-2</c:v>
                </c:pt>
                <c:pt idx="21">
                  <c:v>2.2856786923299732E-2</c:v>
                </c:pt>
                <c:pt idx="22">
                  <c:v>2.1718628816908447E-2</c:v>
                </c:pt>
                <c:pt idx="23">
                  <c:v>2.0619625472492631E-2</c:v>
                </c:pt>
                <c:pt idx="24">
                  <c:v>1.9563823991489038E-2</c:v>
                </c:pt>
                <c:pt idx="25">
                  <c:v>1.8553637971138959E-2</c:v>
                </c:pt>
                <c:pt idx="26">
                  <c:v>1.7590236159725103E-2</c:v>
                </c:pt>
                <c:pt idx="27">
                  <c:v>1.6673848499709765E-2</c:v>
                </c:pt>
                <c:pt idx="28">
                  <c:v>1.580400630103862E-2</c:v>
                </c:pt>
                <c:pt idx="29">
                  <c:v>1.4979730063787944E-2</c:v>
                </c:pt>
                <c:pt idx="30">
                  <c:v>1.4199675800409595E-2</c:v>
                </c:pt>
                <c:pt idx="31">
                  <c:v>1.3462248528122944E-2</c:v>
                </c:pt>
                <c:pt idx="32">
                  <c:v>1.2765689838611816E-2</c:v>
                </c:pt>
                <c:pt idx="33">
                  <c:v>1.2108145035101381E-2</c:v>
                </c:pt>
                <c:pt idx="34">
                  <c:v>1.1487714193339604E-2</c:v>
                </c:pt>
                <c:pt idx="35">
                  <c:v>1.0902490599247194E-2</c:v>
                </c:pt>
                <c:pt idx="36">
                  <c:v>1.0350589297098534E-2</c:v>
                </c:pt>
                <c:pt idx="37">
                  <c:v>9.8301679110739393E-3</c:v>
                </c:pt>
                <c:pt idx="38">
                  <c:v>9.3394414499938794E-3</c:v>
                </c:pt>
                <c:pt idx="39">
                  <c:v>8.8766924458107965E-3</c:v>
                </c:pt>
                <c:pt idx="40">
                  <c:v>8.4402774917233803E-3</c:v>
                </c:pt>
                <c:pt idx="41">
                  <c:v>8.0286310201687083E-3</c:v>
                </c:pt>
                <c:pt idx="42">
                  <c:v>7.6402669822059899E-3</c:v>
                </c:pt>
                <c:pt idx="43">
                  <c:v>7.2737789482060222E-3</c:v>
                </c:pt>
                <c:pt idx="44">
                  <c:v>6.9278390376161791E-3</c:v>
                </c:pt>
                <c:pt idx="45">
                  <c:v>6.6011959967441358E-3</c:v>
                </c:pt>
                <c:pt idx="46">
                  <c:v>6.2926726732122074E-3</c:v>
                </c:pt>
                <c:pt idx="47">
                  <c:v>6.001163080101457E-3</c:v>
                </c:pt>
                <c:pt idx="48">
                  <c:v>5.7256291988211361E-3</c:v>
                </c:pt>
                <c:pt idx="49">
                  <c:v>5.4650976350140157E-3</c:v>
                </c:pt>
                <c:pt idx="50">
                  <c:v>5.2186562143916593E-3</c:v>
                </c:pt>
                <c:pt idx="51">
                  <c:v>4.9854505838351493E-3</c:v>
                </c:pt>
                <c:pt idx="52">
                  <c:v>4.7646808661310214E-3</c:v>
                </c:pt>
                <c:pt idx="53">
                  <c:v>4.5555984034437724E-3</c:v>
                </c:pt>
                <c:pt idx="54">
                  <c:v>4.3575026142523843E-3</c:v>
                </c:pt>
                <c:pt idx="55">
                  <c:v>4.1697379804240819E-3</c:v>
                </c:pt>
                <c:pt idx="56">
                  <c:v>3.9916911748761885E-3</c:v>
                </c:pt>
                <c:pt idx="57">
                  <c:v>3.8227883354938763E-3</c:v>
                </c:pt>
                <c:pt idx="58">
                  <c:v>3.662492487353064E-3</c:v>
                </c:pt>
                <c:pt idx="59">
                  <c:v>3.5103011125621197E-3</c:v>
                </c:pt>
                <c:pt idx="60">
                  <c:v>3.3657438650234184E-3</c:v>
                </c:pt>
                <c:pt idx="61">
                  <c:v>3.2283804259698456E-3</c:v>
                </c:pt>
                <c:pt idx="62">
                  <c:v>3.0977984950930626E-3</c:v>
                </c:pt>
                <c:pt idx="63">
                  <c:v>2.973611911419427E-3</c:v>
                </c:pt>
                <c:pt idx="64">
                  <c:v>2.8554588976602568E-3</c:v>
                </c:pt>
                <c:pt idx="65">
                  <c:v>2.7430004215451831E-3</c:v>
                </c:pt>
                <c:pt idx="66">
                  <c:v>2.6359186675947166E-3</c:v>
                </c:pt>
                <c:pt idx="67">
                  <c:v>2.5339156128242335E-3</c:v>
                </c:pt>
                <c:pt idx="68">
                  <c:v>2.4367117000191341E-3</c:v>
                </c:pt>
                <c:pt idx="69">
                  <c:v>2.3440446024117767E-3</c:v>
                </c:pt>
                <c:pt idx="70">
                  <c:v>2.2556680738249346E-3</c:v>
                </c:pt>
                <c:pt idx="71">
                  <c:v>2.1713508786245228E-3</c:v>
                </c:pt>
                <c:pt idx="72">
                  <c:v>2.0908757960931279E-3</c:v>
                </c:pt>
                <c:pt idx="73">
                  <c:v>2.0140386941377431E-3</c:v>
                </c:pt>
                <c:pt idx="74">
                  <c:v>1.9406476675331019E-3</c:v>
                </c:pt>
                <c:pt idx="75">
                  <c:v>1.8705222361904417E-3</c:v>
                </c:pt>
                <c:pt idx="76">
                  <c:v>1.8034925992281847E-3</c:v>
                </c:pt>
                <c:pt idx="77">
                  <c:v>1.7393989408913679E-3</c:v>
                </c:pt>
                <c:pt idx="78">
                  <c:v>1.6780907846277726E-3</c:v>
                </c:pt>
                <c:pt idx="79">
                  <c:v>1.6194263918856144E-3</c:v>
                </c:pt>
                <c:pt idx="80">
                  <c:v>1.5632722024255807E-3</c:v>
                </c:pt>
                <c:pt idx="81">
                  <c:v>1.5095023131710406E-3</c:v>
                </c:pt>
                <c:pt idx="82">
                  <c:v>1.4579979928283082E-3</c:v>
                </c:pt>
                <c:pt idx="83">
                  <c:v>1.4086472297069053E-3</c:v>
                </c:pt>
                <c:pt idx="84">
                  <c:v>1.3613443103559497E-3</c:v>
                </c:pt>
                <c:pt idx="85">
                  <c:v>1.3159894268054417E-3</c:v>
                </c:pt>
                <c:pt idx="86">
                  <c:v>1.2724883103578666E-3</c:v>
                </c:pt>
                <c:pt idx="87">
                  <c:v>1.2307518900382952E-3</c:v>
                </c:pt>
                <c:pt idx="88">
                  <c:v>1.1906959739327316E-3</c:v>
                </c:pt>
                <c:pt idx="89">
                  <c:v>1.1522409517902288E-3</c:v>
                </c:pt>
                <c:pt idx="90">
                  <c:v>1.115311517375206E-3</c:v>
                </c:pt>
                <c:pt idx="91">
                  <c:v>1.0798364091695323E-3</c:v>
                </c:pt>
                <c:pt idx="92">
                  <c:v>1.0457481681318548E-3</c:v>
                </c:pt>
                <c:pt idx="93">
                  <c:v>1.0129829113070254E-3</c:v>
                </c:pt>
                <c:pt idx="94">
                  <c:v>9.8148012018195452E-4</c:v>
                </c:pt>
                <c:pt idx="95">
                  <c:v>9.5118244274861041E-4</c:v>
                </c:pt>
                <c:pt idx="96">
                  <c:v>9.2203550832714587E-4</c:v>
                </c:pt>
                <c:pt idx="97">
                  <c:v>8.9398775425875154E-4</c:v>
                </c:pt>
                <c:pt idx="98">
                  <c:v>8.6699026365399945E-4</c:v>
                </c:pt>
                <c:pt idx="99">
                  <c:v>8.4099661342929011E-4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C7-40A2-9373-694C3959FB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42073232"/>
        <c:axId val="2142081392"/>
      </c:lineChart>
      <c:catAx>
        <c:axId val="2142073232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2081392"/>
        <c:crosses val="autoZero"/>
        <c:auto val="1"/>
        <c:lblAlgn val="ctr"/>
        <c:lblOffset val="100"/>
        <c:noMultiLvlLbl val="0"/>
      </c:catAx>
      <c:valAx>
        <c:axId val="2142081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2073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'Trunc Normal (mu, sigma)'!$I$2</c:f>
          <c:strCache>
            <c:ptCount val="1"/>
            <c:pt idx="0">
              <c:v>Normal/Gaussian Dist. - mu = 10, sigma = 20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'Trunc Normal (mu, sigma)'!$E$3:$E$102</c:f>
              <c:numCache>
                <c:formatCode>General</c:formatCode>
                <c:ptCount val="100"/>
                <c:pt idx="0">
                  <c:v>-50</c:v>
                </c:pt>
                <c:pt idx="1">
                  <c:v>-49</c:v>
                </c:pt>
                <c:pt idx="2">
                  <c:v>-48</c:v>
                </c:pt>
                <c:pt idx="3">
                  <c:v>-47</c:v>
                </c:pt>
                <c:pt idx="4">
                  <c:v>-46</c:v>
                </c:pt>
                <c:pt idx="5">
                  <c:v>-45</c:v>
                </c:pt>
                <c:pt idx="6">
                  <c:v>-44</c:v>
                </c:pt>
                <c:pt idx="7">
                  <c:v>-43</c:v>
                </c:pt>
                <c:pt idx="8">
                  <c:v>-42</c:v>
                </c:pt>
                <c:pt idx="9">
                  <c:v>-41</c:v>
                </c:pt>
                <c:pt idx="10">
                  <c:v>-40</c:v>
                </c:pt>
                <c:pt idx="11">
                  <c:v>-39</c:v>
                </c:pt>
                <c:pt idx="12">
                  <c:v>-38</c:v>
                </c:pt>
                <c:pt idx="13">
                  <c:v>-37</c:v>
                </c:pt>
                <c:pt idx="14">
                  <c:v>-36</c:v>
                </c:pt>
                <c:pt idx="15">
                  <c:v>-35</c:v>
                </c:pt>
                <c:pt idx="16">
                  <c:v>-34</c:v>
                </c:pt>
                <c:pt idx="17">
                  <c:v>-33</c:v>
                </c:pt>
                <c:pt idx="18">
                  <c:v>-32</c:v>
                </c:pt>
                <c:pt idx="19">
                  <c:v>-31</c:v>
                </c:pt>
                <c:pt idx="20">
                  <c:v>-30</c:v>
                </c:pt>
                <c:pt idx="21">
                  <c:v>-29</c:v>
                </c:pt>
                <c:pt idx="22">
                  <c:v>-28</c:v>
                </c:pt>
                <c:pt idx="23">
                  <c:v>-27</c:v>
                </c:pt>
                <c:pt idx="24">
                  <c:v>-26</c:v>
                </c:pt>
                <c:pt idx="25">
                  <c:v>-25</c:v>
                </c:pt>
                <c:pt idx="26">
                  <c:v>-24</c:v>
                </c:pt>
                <c:pt idx="27">
                  <c:v>-23</c:v>
                </c:pt>
                <c:pt idx="28">
                  <c:v>-22</c:v>
                </c:pt>
                <c:pt idx="29">
                  <c:v>-21</c:v>
                </c:pt>
                <c:pt idx="30">
                  <c:v>-20</c:v>
                </c:pt>
                <c:pt idx="31">
                  <c:v>-19</c:v>
                </c:pt>
                <c:pt idx="32">
                  <c:v>-18</c:v>
                </c:pt>
                <c:pt idx="33">
                  <c:v>-17</c:v>
                </c:pt>
                <c:pt idx="34">
                  <c:v>-16</c:v>
                </c:pt>
                <c:pt idx="35">
                  <c:v>-15</c:v>
                </c:pt>
                <c:pt idx="36">
                  <c:v>-14</c:v>
                </c:pt>
                <c:pt idx="37">
                  <c:v>-13</c:v>
                </c:pt>
                <c:pt idx="38">
                  <c:v>-12</c:v>
                </c:pt>
                <c:pt idx="39">
                  <c:v>-11</c:v>
                </c:pt>
                <c:pt idx="40">
                  <c:v>-10</c:v>
                </c:pt>
                <c:pt idx="41">
                  <c:v>-9</c:v>
                </c:pt>
                <c:pt idx="42">
                  <c:v>-8</c:v>
                </c:pt>
                <c:pt idx="43">
                  <c:v>-7</c:v>
                </c:pt>
                <c:pt idx="44">
                  <c:v>-6</c:v>
                </c:pt>
                <c:pt idx="45">
                  <c:v>-5</c:v>
                </c:pt>
                <c:pt idx="46">
                  <c:v>-4</c:v>
                </c:pt>
                <c:pt idx="47">
                  <c:v>-3</c:v>
                </c:pt>
                <c:pt idx="48">
                  <c:v>-2</c:v>
                </c:pt>
                <c:pt idx="49">
                  <c:v>-1</c:v>
                </c:pt>
                <c:pt idx="50">
                  <c:v>0</c:v>
                </c:pt>
                <c:pt idx="51">
                  <c:v>1</c:v>
                </c:pt>
                <c:pt idx="52">
                  <c:v>2</c:v>
                </c:pt>
                <c:pt idx="53">
                  <c:v>3</c:v>
                </c:pt>
                <c:pt idx="54">
                  <c:v>4</c:v>
                </c:pt>
                <c:pt idx="55">
                  <c:v>5</c:v>
                </c:pt>
                <c:pt idx="56">
                  <c:v>6</c:v>
                </c:pt>
                <c:pt idx="57">
                  <c:v>7</c:v>
                </c:pt>
                <c:pt idx="58">
                  <c:v>8</c:v>
                </c:pt>
                <c:pt idx="59">
                  <c:v>9</c:v>
                </c:pt>
                <c:pt idx="60">
                  <c:v>10</c:v>
                </c:pt>
                <c:pt idx="61">
                  <c:v>11</c:v>
                </c:pt>
                <c:pt idx="62">
                  <c:v>12</c:v>
                </c:pt>
                <c:pt idx="63">
                  <c:v>13</c:v>
                </c:pt>
                <c:pt idx="64">
                  <c:v>14</c:v>
                </c:pt>
                <c:pt idx="65">
                  <c:v>15</c:v>
                </c:pt>
                <c:pt idx="66">
                  <c:v>16</c:v>
                </c:pt>
                <c:pt idx="67">
                  <c:v>17</c:v>
                </c:pt>
                <c:pt idx="68">
                  <c:v>18</c:v>
                </c:pt>
                <c:pt idx="69">
                  <c:v>19</c:v>
                </c:pt>
                <c:pt idx="70">
                  <c:v>20</c:v>
                </c:pt>
                <c:pt idx="71">
                  <c:v>21</c:v>
                </c:pt>
                <c:pt idx="72">
                  <c:v>22</c:v>
                </c:pt>
                <c:pt idx="73">
                  <c:v>23</c:v>
                </c:pt>
                <c:pt idx="74">
                  <c:v>24</c:v>
                </c:pt>
                <c:pt idx="75">
                  <c:v>25</c:v>
                </c:pt>
                <c:pt idx="76">
                  <c:v>26</c:v>
                </c:pt>
                <c:pt idx="77">
                  <c:v>27</c:v>
                </c:pt>
                <c:pt idx="78">
                  <c:v>28</c:v>
                </c:pt>
                <c:pt idx="79">
                  <c:v>29</c:v>
                </c:pt>
                <c:pt idx="80">
                  <c:v>30</c:v>
                </c:pt>
                <c:pt idx="81">
                  <c:v>31</c:v>
                </c:pt>
                <c:pt idx="82">
                  <c:v>32</c:v>
                </c:pt>
                <c:pt idx="83">
                  <c:v>33</c:v>
                </c:pt>
                <c:pt idx="84">
                  <c:v>34</c:v>
                </c:pt>
                <c:pt idx="85">
                  <c:v>35</c:v>
                </c:pt>
                <c:pt idx="86">
                  <c:v>36</c:v>
                </c:pt>
                <c:pt idx="87">
                  <c:v>37</c:v>
                </c:pt>
                <c:pt idx="88">
                  <c:v>38</c:v>
                </c:pt>
                <c:pt idx="89">
                  <c:v>39</c:v>
                </c:pt>
                <c:pt idx="90">
                  <c:v>40</c:v>
                </c:pt>
                <c:pt idx="91">
                  <c:v>41</c:v>
                </c:pt>
                <c:pt idx="92">
                  <c:v>42</c:v>
                </c:pt>
                <c:pt idx="93">
                  <c:v>43</c:v>
                </c:pt>
                <c:pt idx="94">
                  <c:v>44</c:v>
                </c:pt>
                <c:pt idx="95">
                  <c:v>45</c:v>
                </c:pt>
                <c:pt idx="96">
                  <c:v>46</c:v>
                </c:pt>
                <c:pt idx="97">
                  <c:v>47</c:v>
                </c:pt>
                <c:pt idx="98">
                  <c:v>48</c:v>
                </c:pt>
                <c:pt idx="99">
                  <c:v>49</c:v>
                </c:pt>
              </c:numCache>
            </c:numRef>
          </c:cat>
          <c:val>
            <c:numRef>
              <c:f>'Trunc Normal (mu, sigma)'!$G$3:$G$102</c:f>
              <c:numCache>
                <c:formatCode>_(* #,##0.00_);_(* \(#,##0.00\);_(* "-"??_);_(@_)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2.6036290129968016E-2</c:v>
                </c:pt>
                <c:pt idx="51">
                  <c:v>2.6662053547271965E-2</c:v>
                </c:pt>
                <c:pt idx="52">
                  <c:v>2.7234684844612892E-2</c:v>
                </c:pt>
                <c:pt idx="53">
                  <c:v>2.7750152594095041E-2</c:v>
                </c:pt>
                <c:pt idx="54">
                  <c:v>2.8204776388027514E-2</c:v>
                </c:pt>
                <c:pt idx="55">
                  <c:v>2.8595270558487179E-2</c:v>
                </c:pt>
                <c:pt idx="56">
                  <c:v>2.8918783701654998E-2</c:v>
                </c:pt>
                <c:pt idx="57">
                  <c:v>2.9172933342196262E-2</c:v>
                </c:pt>
                <c:pt idx="58">
                  <c:v>2.935583514834611E-2</c:v>
                </c:pt>
                <c:pt idx="59">
                  <c:v>2.9466126196620632E-2</c:v>
                </c:pt>
                <c:pt idx="60">
                  <c:v>2.9502981884372337E-2</c:v>
                </c:pt>
                <c:pt idx="61">
                  <c:v>2.9466126196620632E-2</c:v>
                </c:pt>
                <c:pt idx="62">
                  <c:v>2.935583514834611E-2</c:v>
                </c:pt>
                <c:pt idx="63">
                  <c:v>2.9172933342196262E-2</c:v>
                </c:pt>
                <c:pt idx="64">
                  <c:v>2.8918783701654998E-2</c:v>
                </c:pt>
                <c:pt idx="65">
                  <c:v>2.8595270558487179E-2</c:v>
                </c:pt>
                <c:pt idx="66">
                  <c:v>2.8204776388027514E-2</c:v>
                </c:pt>
                <c:pt idx="67">
                  <c:v>2.7750152594095041E-2</c:v>
                </c:pt>
                <c:pt idx="68">
                  <c:v>2.7234684844612892E-2</c:v>
                </c:pt>
                <c:pt idx="69">
                  <c:v>2.6662053547271965E-2</c:v>
                </c:pt>
                <c:pt idx="70">
                  <c:v>2.6036290129968016E-2</c:v>
                </c:pt>
                <c:pt idx="71">
                  <c:v>2.5361729851778727E-2</c:v>
                </c:pt>
                <c:pt idx="72">
                  <c:v>2.4642961915822607E-2</c:v>
                </c:pt>
                <c:pt idx="73">
                  <c:v>2.3884777684750114E-2</c:v>
                </c:pt>
                <c:pt idx="74">
                  <c:v>2.309211781256585E-2</c:v>
                </c:pt>
                <c:pt idx="75">
                  <c:v>2.2270019103088505E-2</c:v>
                </c:pt>
                <c:pt idx="76">
                  <c:v>2.1423561886139517E-2</c:v>
                </c:pt>
                <c:pt idx="77">
                  <c:v>2.0557818668403647E-2</c:v>
                </c:pt>
                <c:pt idx="78">
                  <c:v>1.9677804768054002E-2</c:v>
                </c:pt>
                <c:pt idx="79">
                  <c:v>1.8788431582205126E-2</c:v>
                </c:pt>
                <c:pt idx="80">
                  <c:v>1.7894463065818225E-2</c:v>
                </c:pt>
                <c:pt idx="81">
                  <c:v>1.7000475921787762E-2</c:v>
                </c:pt>
                <c:pt idx="82">
                  <c:v>1.6110823916670354E-2</c:v>
                </c:pt>
                <c:pt idx="83">
                  <c:v>1.5229606647024193E-2</c:v>
                </c:pt>
                <c:pt idx="84">
                  <c:v>1.4360642989764409E-2</c:v>
                </c:pt>
                <c:pt idx="85">
                  <c:v>1.350744937840922E-2</c:v>
                </c:pt>
                <c:pt idx="86">
                  <c:v>1.2673222957590274E-2</c:v>
                </c:pt>
                <c:pt idx="87">
                  <c:v>1.1860829582571912E-2</c:v>
                </c:pt>
                <c:pt idx="88">
                  <c:v>1.1072796550416715E-2</c:v>
                </c:pt>
                <c:pt idx="89">
                  <c:v>1.0311309876270675E-2</c:v>
                </c:pt>
                <c:pt idx="90">
                  <c:v>9.5782158631901732E-3</c:v>
                </c:pt>
                <c:pt idx="91">
                  <c:v>8.8750266578966428E-3</c:v>
                </c:pt>
                <c:pt idx="92">
                  <c:v>8.2029294384503727E-3</c:v>
                </c:pt>
                <c:pt idx="93">
                  <c:v>7.5627988434361793E-3</c:v>
                </c:pt>
                <c:pt idx="94">
                  <c:v>6.955212225939496E-3</c:v>
                </c:pt>
                <c:pt idx="95">
                  <c:v>6.3804672992029254E-3</c:v>
                </c:pt>
                <c:pt idx="96">
                  <c:v>5.8386017340047343E-3</c:v>
                </c:pt>
                <c:pt idx="97">
                  <c:v>5.3294142699079347E-3</c:v>
                </c:pt>
                <c:pt idx="98">
                  <c:v>4.8524869128377859E-3</c:v>
                </c:pt>
                <c:pt idx="99">
                  <c:v>4.4072078090684631E-3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BF-4210-A39C-E182531988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42073232"/>
        <c:axId val="2142081392"/>
      </c:lineChart>
      <c:catAx>
        <c:axId val="2142073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2081392"/>
        <c:crosses val="autoZero"/>
        <c:auto val="1"/>
        <c:lblAlgn val="ctr"/>
        <c:lblOffset val="100"/>
        <c:noMultiLvlLbl val="0"/>
      </c:catAx>
      <c:valAx>
        <c:axId val="2142081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2073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'Trunc t(df)'!$I$2</c:f>
          <c:strCache>
            <c:ptCount val="1"/>
            <c:pt idx="0">
              <c:v>t-Dist - d.f. = 5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'Trunc t(df)'!$E$3:$E$102</c:f>
              <c:numCache>
                <c:formatCode>0.0</c:formatCode>
                <c:ptCount val="100"/>
                <c:pt idx="0">
                  <c:v>-9.9</c:v>
                </c:pt>
                <c:pt idx="1">
                  <c:v>-9.6999999999999993</c:v>
                </c:pt>
                <c:pt idx="2">
                  <c:v>-9.5</c:v>
                </c:pt>
                <c:pt idx="3">
                  <c:v>-9.3000000000000007</c:v>
                </c:pt>
                <c:pt idx="4">
                  <c:v>-9.1</c:v>
                </c:pt>
                <c:pt idx="5">
                  <c:v>-8.8999999999999897</c:v>
                </c:pt>
                <c:pt idx="6">
                  <c:v>-8.6999999999999904</c:v>
                </c:pt>
                <c:pt idx="7">
                  <c:v>-8.4999999999999893</c:v>
                </c:pt>
                <c:pt idx="8">
                  <c:v>-8.2999999999999901</c:v>
                </c:pt>
                <c:pt idx="9">
                  <c:v>-8.0999999999999908</c:v>
                </c:pt>
                <c:pt idx="10">
                  <c:v>-7.8999999999999897</c:v>
                </c:pt>
                <c:pt idx="11">
                  <c:v>-7.6999999999999904</c:v>
                </c:pt>
                <c:pt idx="12">
                  <c:v>-7.4999999999999902</c:v>
                </c:pt>
                <c:pt idx="13">
                  <c:v>-7.2999999999999901</c:v>
                </c:pt>
                <c:pt idx="14">
                  <c:v>-7.0999999999999899</c:v>
                </c:pt>
                <c:pt idx="15">
                  <c:v>-6.8999999999999799</c:v>
                </c:pt>
                <c:pt idx="16">
                  <c:v>-6.6999999999999797</c:v>
                </c:pt>
                <c:pt idx="17">
                  <c:v>-6.4999999999999796</c:v>
                </c:pt>
                <c:pt idx="18">
                  <c:v>-6.2999999999999803</c:v>
                </c:pt>
                <c:pt idx="19">
                  <c:v>-6.0999999999999801</c:v>
                </c:pt>
                <c:pt idx="20">
                  <c:v>-5.8999999999999799</c:v>
                </c:pt>
                <c:pt idx="21">
                  <c:v>-5.6999999999999797</c:v>
                </c:pt>
                <c:pt idx="22">
                  <c:v>-5.4999999999999796</c:v>
                </c:pt>
                <c:pt idx="23">
                  <c:v>-5.2999999999999803</c:v>
                </c:pt>
                <c:pt idx="24">
                  <c:v>-5.0999999999999703</c:v>
                </c:pt>
                <c:pt idx="25">
                  <c:v>-4.8999999999999702</c:v>
                </c:pt>
                <c:pt idx="26">
                  <c:v>-4.69999999999997</c:v>
                </c:pt>
                <c:pt idx="27">
                  <c:v>-4.4999999999999698</c:v>
                </c:pt>
                <c:pt idx="28">
                  <c:v>-4.2999999999999696</c:v>
                </c:pt>
                <c:pt idx="29">
                  <c:v>-4.0999999999999703</c:v>
                </c:pt>
                <c:pt idx="30">
                  <c:v>-3.8999999999999702</c:v>
                </c:pt>
                <c:pt idx="31">
                  <c:v>-3.69999999999997</c:v>
                </c:pt>
                <c:pt idx="32">
                  <c:v>-3.4999999999999698</c:v>
                </c:pt>
                <c:pt idx="33">
                  <c:v>-3.2999999999999599</c:v>
                </c:pt>
                <c:pt idx="34">
                  <c:v>-3.0999999999999601</c:v>
                </c:pt>
                <c:pt idx="35">
                  <c:v>-2.8999999999999599</c:v>
                </c:pt>
                <c:pt idx="36">
                  <c:v>-2.6999999999999602</c:v>
                </c:pt>
                <c:pt idx="37">
                  <c:v>-2.49999999999996</c:v>
                </c:pt>
                <c:pt idx="38">
                  <c:v>-2.2999999999999599</c:v>
                </c:pt>
                <c:pt idx="39">
                  <c:v>-2.0999999999999601</c:v>
                </c:pt>
                <c:pt idx="40">
                  <c:v>-1.8999999999999599</c:v>
                </c:pt>
                <c:pt idx="41">
                  <c:v>-1.69999999999996</c:v>
                </c:pt>
                <c:pt idx="42">
                  <c:v>-1.49999999999996</c:v>
                </c:pt>
                <c:pt idx="43">
                  <c:v>-1.2999999999999501</c:v>
                </c:pt>
                <c:pt idx="44">
                  <c:v>-1.0999999999999499</c:v>
                </c:pt>
                <c:pt idx="45">
                  <c:v>-0.89999999999995095</c:v>
                </c:pt>
                <c:pt idx="46">
                  <c:v>-0.69999999999995</c:v>
                </c:pt>
                <c:pt idx="47">
                  <c:v>-0.49999999999994998</c:v>
                </c:pt>
                <c:pt idx="48">
                  <c:v>-0.29999999999995097</c:v>
                </c:pt>
                <c:pt idx="49">
                  <c:v>-9.9999999999949907E-2</c:v>
                </c:pt>
                <c:pt idx="50">
                  <c:v>0.100000000000099</c:v>
                </c:pt>
                <c:pt idx="51">
                  <c:v>0.30000000000010002</c:v>
                </c:pt>
                <c:pt idx="52">
                  <c:v>0.50000000000009903</c:v>
                </c:pt>
                <c:pt idx="53">
                  <c:v>0.70000000000009899</c:v>
                </c:pt>
                <c:pt idx="54">
                  <c:v>0.90000000000010005</c:v>
                </c:pt>
                <c:pt idx="55">
                  <c:v>1.1000000000001</c:v>
                </c:pt>
                <c:pt idx="56">
                  <c:v>1.3000000000001</c:v>
                </c:pt>
                <c:pt idx="57">
                  <c:v>1.5000000000000999</c:v>
                </c:pt>
                <c:pt idx="58">
                  <c:v>1.7000000000001001</c:v>
                </c:pt>
                <c:pt idx="59">
                  <c:v>1.9000000000001001</c:v>
                </c:pt>
                <c:pt idx="60">
                  <c:v>2.1000000000001</c:v>
                </c:pt>
                <c:pt idx="61">
                  <c:v>2.3000000000001002</c:v>
                </c:pt>
                <c:pt idx="62">
                  <c:v>2.5000000000000999</c:v>
                </c:pt>
                <c:pt idx="63">
                  <c:v>2.7000000000001001</c:v>
                </c:pt>
                <c:pt idx="64">
                  <c:v>2.9000000000000998</c:v>
                </c:pt>
                <c:pt idx="65">
                  <c:v>3.1000000000001</c:v>
                </c:pt>
                <c:pt idx="66">
                  <c:v>3.3000000000001002</c:v>
                </c:pt>
                <c:pt idx="67">
                  <c:v>3.5000000000000999</c:v>
                </c:pt>
                <c:pt idx="68">
                  <c:v>3.7000000000001001</c:v>
                </c:pt>
                <c:pt idx="69">
                  <c:v>3.9000000000000998</c:v>
                </c:pt>
                <c:pt idx="70">
                  <c:v>4.1000000000001</c:v>
                </c:pt>
                <c:pt idx="71">
                  <c:v>4.3000000000001002</c:v>
                </c:pt>
                <c:pt idx="72">
                  <c:v>4.5000000000001004</c:v>
                </c:pt>
                <c:pt idx="73">
                  <c:v>4.7000000000000997</c:v>
                </c:pt>
                <c:pt idx="74">
                  <c:v>4.9000000000000998</c:v>
                </c:pt>
                <c:pt idx="75">
                  <c:v>5.1000000000001</c:v>
                </c:pt>
                <c:pt idx="76">
                  <c:v>5.3000000000001002</c:v>
                </c:pt>
                <c:pt idx="77">
                  <c:v>5.5000000000001004</c:v>
                </c:pt>
                <c:pt idx="78">
                  <c:v>5.7000000000000997</c:v>
                </c:pt>
                <c:pt idx="79">
                  <c:v>5.9000000000000998</c:v>
                </c:pt>
                <c:pt idx="80">
                  <c:v>6.1000000000001</c:v>
                </c:pt>
                <c:pt idx="81">
                  <c:v>6.3000000000001002</c:v>
                </c:pt>
                <c:pt idx="82">
                  <c:v>6.5000000000001004</c:v>
                </c:pt>
                <c:pt idx="83">
                  <c:v>6.7000000000000997</c:v>
                </c:pt>
                <c:pt idx="84">
                  <c:v>6.9000000000000998</c:v>
                </c:pt>
                <c:pt idx="85">
                  <c:v>7.1000000000001</c:v>
                </c:pt>
                <c:pt idx="86">
                  <c:v>7.3000000000001002</c:v>
                </c:pt>
                <c:pt idx="87">
                  <c:v>7.5000000000001004</c:v>
                </c:pt>
                <c:pt idx="88">
                  <c:v>7.7000000000000997</c:v>
                </c:pt>
                <c:pt idx="89">
                  <c:v>7.9000000000000998</c:v>
                </c:pt>
                <c:pt idx="90">
                  <c:v>8.1000000000000991</c:v>
                </c:pt>
                <c:pt idx="91">
                  <c:v>8.3000000000001002</c:v>
                </c:pt>
                <c:pt idx="92">
                  <c:v>8.5000000000000995</c:v>
                </c:pt>
                <c:pt idx="93">
                  <c:v>8.7000000000001005</c:v>
                </c:pt>
                <c:pt idx="94">
                  <c:v>8.9000000000000998</c:v>
                </c:pt>
                <c:pt idx="95">
                  <c:v>9.1000000000000991</c:v>
                </c:pt>
                <c:pt idx="96">
                  <c:v>9.3000000000001002</c:v>
                </c:pt>
                <c:pt idx="97">
                  <c:v>9.5000000000000995</c:v>
                </c:pt>
                <c:pt idx="98">
                  <c:v>9.7000000000001005</c:v>
                </c:pt>
                <c:pt idx="99">
                  <c:v>9.9000000000000998</c:v>
                </c:pt>
              </c:numCache>
            </c:numRef>
          </c:cat>
          <c:val>
            <c:numRef>
              <c:f>'Trunc t(df)'!$G$3:$G$102</c:f>
              <c:numCache>
                <c:formatCode>_(* #,##0.00_);_(* \(#,##0.00\);_(* "-"??_);_(@_)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0.15096104663195412</c:v>
                </c:pt>
                <c:pt idx="51">
                  <c:v>0.14395432875028433</c:v>
                </c:pt>
                <c:pt idx="52">
                  <c:v>0.13118982887548819</c:v>
                </c:pt>
                <c:pt idx="53">
                  <c:v>0.11472578617357858</c:v>
                </c:pt>
                <c:pt idx="54">
                  <c:v>9.679427663945589E-2</c:v>
                </c:pt>
                <c:pt idx="55">
                  <c:v>7.9268980976059236E-2</c:v>
                </c:pt>
                <c:pt idx="56">
                  <c:v>6.3401527681786612E-2</c:v>
                </c:pt>
                <c:pt idx="57">
                  <c:v>4.9815449801788272E-2</c:v>
                </c:pt>
                <c:pt idx="58">
                  <c:v>3.8649783556498743E-2</c:v>
                </c:pt>
                <c:pt idx="59">
                  <c:v>2.9741893997175715E-2</c:v>
                </c:pt>
                <c:pt idx="60">
                  <c:v>2.2782910574433733E-2</c:v>
                </c:pt>
                <c:pt idx="61">
                  <c:v>1.7423361662056998E-2</c:v>
                </c:pt>
                <c:pt idx="62">
                  <c:v>1.3332773719789326E-2</c:v>
                </c:pt>
                <c:pt idx="63">
                  <c:v>1.0226391787130348E-2</c:v>
                </c:pt>
                <c:pt idx="64">
                  <c:v>7.8721206619157789E-3</c:v>
                </c:pt>
                <c:pt idx="65">
                  <c:v>6.0873381586831077E-3</c:v>
                </c:pt>
                <c:pt idx="66">
                  <c:v>4.731582143756935E-3</c:v>
                </c:pt>
                <c:pt idx="67">
                  <c:v>3.6983735764189612E-3</c:v>
                </c:pt>
                <c:pt idx="68">
                  <c:v>2.9077038510620678E-3</c:v>
                </c:pt>
                <c:pt idx="69">
                  <c:v>2.2997420977938581E-3</c:v>
                </c:pt>
                <c:pt idx="70">
                  <c:v>1.8298314135379338E-3</c:v>
                </c:pt>
                <c:pt idx="71">
                  <c:v>1.4646337093919216E-3</c:v>
                </c:pt>
                <c:pt idx="72">
                  <c:v>1.1792175346969809E-3</c:v>
                </c:pt>
                <c:pt idx="73">
                  <c:v>9.5488497690136072E-4</c:v>
                </c:pt>
                <c:pt idx="74">
                  <c:v>7.7756175152493979E-4</c:v>
                </c:pt>
                <c:pt idx="75">
                  <c:v>6.3660900432354012E-4</c:v>
                </c:pt>
                <c:pt idx="76">
                  <c:v>5.2394750221116759E-4</c:v>
                </c:pt>
                <c:pt idx="77">
                  <c:v>4.3341178066797105E-4</c:v>
                </c:pt>
                <c:pt idx="78">
                  <c:v>3.6027303200851865E-4</c:v>
                </c:pt>
                <c:pt idx="79">
                  <c:v>3.0088569670039695E-4</c:v>
                </c:pt>
                <c:pt idx="80">
                  <c:v>2.5242479912255741E-4</c:v>
                </c:pt>
                <c:pt idx="81">
                  <c:v>2.1268997088702842E-4</c:v>
                </c:pt>
                <c:pt idx="82">
                  <c:v>1.7995861299792133E-4</c:v>
                </c:pt>
                <c:pt idx="83">
                  <c:v>1.5287538507067583E-4</c:v>
                </c:pt>
                <c:pt idx="84">
                  <c:v>1.3036865062271007E-4</c:v>
                </c:pt>
                <c:pt idx="85">
                  <c:v>1.1158700604110864E-4</c:v>
                </c:pt>
                <c:pt idx="86">
                  <c:v>9.5850837044324558E-5</c:v>
                </c:pt>
                <c:pt idx="87">
                  <c:v>8.2615169204387624E-5</c:v>
                </c:pt>
                <c:pt idx="88">
                  <c:v>7.1441044992933339E-5</c:v>
                </c:pt>
                <c:pt idx="89">
                  <c:v>6.1973367349961659E-5</c:v>
                </c:pt>
                <c:pt idx="90">
                  <c:v>5.3923669882009935E-5</c:v>
                </c:pt>
                <c:pt idx="91">
                  <c:v>4.7056657577815541E-5</c:v>
                </c:pt>
                <c:pt idx="92">
                  <c:v>4.1179646246767993E-5</c:v>
                </c:pt>
                <c:pt idx="93">
                  <c:v>3.6134240384031558E-5</c:v>
                </c:pt>
                <c:pt idx="94">
                  <c:v>3.178974715715188E-5</c:v>
                </c:pt>
                <c:pt idx="95">
                  <c:v>2.8037942730218924E-5</c:v>
                </c:pt>
                <c:pt idx="96">
                  <c:v>2.4788896432300556E-5</c:v>
                </c:pt>
                <c:pt idx="97">
                  <c:v>2.1967625831835311E-5</c:v>
                </c:pt>
                <c:pt idx="98">
                  <c:v>1.9511407104823536E-5</c:v>
                </c:pt>
                <c:pt idx="99">
                  <c:v>1.736760424371263E-5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5C-4BB9-BB83-BEBE36BDE8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42073232"/>
        <c:axId val="2142081392"/>
      </c:lineChart>
      <c:catAx>
        <c:axId val="2142073232"/>
        <c:scaling>
          <c:orientation val="minMax"/>
        </c:scaling>
        <c:delete val="0"/>
        <c:axPos val="b"/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2081392"/>
        <c:crosses val="autoZero"/>
        <c:auto val="1"/>
        <c:lblAlgn val="ctr"/>
        <c:lblOffset val="100"/>
        <c:noMultiLvlLbl val="0"/>
      </c:catAx>
      <c:valAx>
        <c:axId val="2142081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2073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Distribution of Observed Random Samples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Distribution of Observed Random Samples</a:t>
          </a:r>
        </a:p>
      </cx:txPr>
    </cx:title>
    <cx:plotArea>
      <cx:plotAreaRegion>
        <cx:series layoutId="clusteredColumn" uniqueId="{284F60D3-4468-4C38-8568-008A8F1B3C18}">
          <cx:dataId val="0"/>
          <cx:layoutPr>
            <cx:binning intervalClosed="r">
              <cx:binCount val="10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Distribution of Observed Random Samples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Distribution of Observed Random Samples</a:t>
          </a:r>
        </a:p>
      </cx:txPr>
    </cx:title>
    <cx:plotArea>
      <cx:plotAreaRegion>
        <cx:series layoutId="clusteredColumn" uniqueId="{B08AB8F3-F0BD-453E-84A3-E68EA25762AF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</cx:chartData>
  <cx:chart>
    <cx:title pos="t" align="ctr" overlay="0">
      <cx:tx>
        <cx:txData>
          <cx:v>Distribution of Observed Random Samples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Distribution of Observed Random Samples</a:t>
          </a:r>
        </a:p>
      </cx:txPr>
    </cx:title>
    <cx:plotArea>
      <cx:plotAreaRegion>
        <cx:series layoutId="clusteredColumn" uniqueId="{F75B22B5-4AA6-46DF-BEA7-5A3D0011D227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txData>
          <cx:v>Distribution of Observed Random Samples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Distribution of Observed Random Samples</a:t>
          </a:r>
        </a:p>
      </cx:txPr>
    </cx:title>
    <cx:plotArea>
      <cx:plotAreaRegion>
        <cx:series layoutId="clusteredColumn" uniqueId="{9EC1772A-84F5-43AA-93AF-2E562CE23B4C}">
          <cx:dataId val="0"/>
          <cx:layoutPr>
            <cx:binning intervalClosed="r">
              <cx:binCount val="50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2" Type="http://schemas.microsoft.com/office/2014/relationships/chartEx" Target="../charts/chartEx1.xml"/><Relationship Id="rId1" Type="http://schemas.openxmlformats.org/officeDocument/2006/relationships/chart" Target="../charts/chart9.xml"/></Relationships>
</file>

<file path=xl/drawings/_rels/drawing7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openxmlformats.org/officeDocument/2006/relationships/chart" Target="../charts/chart10.xml"/></Relationships>
</file>

<file path=xl/drawings/_rels/drawing8.xml.rels><?xml version="1.0" encoding="UTF-8" standalone="yes"?>
<Relationships xmlns="http://schemas.openxmlformats.org/package/2006/relationships"><Relationship Id="rId2" Type="http://schemas.microsoft.com/office/2014/relationships/chartEx" Target="../charts/chartEx3.xml"/><Relationship Id="rId1" Type="http://schemas.openxmlformats.org/officeDocument/2006/relationships/chart" Target="../charts/chart11.xml"/></Relationships>
</file>

<file path=xl/drawings/_rels/drawing9.xml.rels><?xml version="1.0" encoding="UTF-8" standalone="yes"?>
<Relationships xmlns="http://schemas.openxmlformats.org/package/2006/relationships"><Relationship Id="rId2" Type="http://schemas.microsoft.com/office/2014/relationships/chartEx" Target="../charts/chartEx4.xml"/><Relationship Id="rId1" Type="http://schemas.openxmlformats.org/officeDocument/2006/relationships/chart" Target="../charts/chart12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25</xdr:row>
      <xdr:rowOff>181428</xdr:rowOff>
    </xdr:from>
    <xdr:to>
      <xdr:col>13</xdr:col>
      <xdr:colOff>173182</xdr:colOff>
      <xdr:row>42</xdr:row>
      <xdr:rowOff>3297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568E83-2CCA-49D0-ACDD-9D74ED1E39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9</xdr:row>
      <xdr:rowOff>0</xdr:rowOff>
    </xdr:from>
    <xdr:to>
      <xdr:col>22</xdr:col>
      <xdr:colOff>600364</xdr:colOff>
      <xdr:row>25</xdr:row>
      <xdr:rowOff>3298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8084C12-D17A-443B-99F7-D3023E2810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9</xdr:row>
      <xdr:rowOff>0</xdr:rowOff>
    </xdr:from>
    <xdr:to>
      <xdr:col>13</xdr:col>
      <xdr:colOff>173182</xdr:colOff>
      <xdr:row>25</xdr:row>
      <xdr:rowOff>3298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882C960-C324-4FDC-9C00-E482A9B0F0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18</xdr:col>
      <xdr:colOff>0</xdr:colOff>
      <xdr:row>17</xdr:row>
      <xdr:rowOff>7470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BF60302-F6BD-436D-B860-5312A87335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18</xdr:row>
      <xdr:rowOff>0</xdr:rowOff>
    </xdr:from>
    <xdr:to>
      <xdr:col>18</xdr:col>
      <xdr:colOff>0</xdr:colOff>
      <xdr:row>34</xdr:row>
      <xdr:rowOff>7470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A78CC3D0-217A-4A0B-843C-C2ED25140A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15</xdr:col>
      <xdr:colOff>589642</xdr:colOff>
      <xdr:row>17</xdr:row>
      <xdr:rowOff>163285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4DAF874-333C-42C3-B1A5-F6727744E3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15</xdr:col>
      <xdr:colOff>589642</xdr:colOff>
      <xdr:row>17</xdr:row>
      <xdr:rowOff>163285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E59637C-A76A-44A0-86B8-F65415CFC0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15</xdr:col>
      <xdr:colOff>589642</xdr:colOff>
      <xdr:row>17</xdr:row>
      <xdr:rowOff>163285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6C1DBF4-8AD2-4570-BCAA-09924B1DEE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15</xdr:col>
      <xdr:colOff>589642</xdr:colOff>
      <xdr:row>17</xdr:row>
      <xdr:rowOff>163285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CE4E625-6DD6-4F02-824A-9DB4F31500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18</xdr:row>
      <xdr:rowOff>181428</xdr:rowOff>
    </xdr:from>
    <xdr:to>
      <xdr:col>16</xdr:col>
      <xdr:colOff>0</xdr:colOff>
      <xdr:row>36</xdr:row>
      <xdr:rowOff>9070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D47D8129-17FD-46D8-8F09-8A6A8ACC79E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81550" y="3496128"/>
              <a:ext cx="5486400" cy="314234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15</xdr:col>
      <xdr:colOff>589642</xdr:colOff>
      <xdr:row>17</xdr:row>
      <xdr:rowOff>163285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739DA60-EEAE-4BA1-AD04-9808BB9D75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19</xdr:row>
      <xdr:rowOff>0</xdr:rowOff>
    </xdr:from>
    <xdr:to>
      <xdr:col>16</xdr:col>
      <xdr:colOff>0</xdr:colOff>
      <xdr:row>36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5113A008-983E-4BB3-8CC6-A2E29AF6A9A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81550" y="3498850"/>
              <a:ext cx="5486400" cy="31305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15</xdr:col>
      <xdr:colOff>589642</xdr:colOff>
      <xdr:row>17</xdr:row>
      <xdr:rowOff>163285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CFFC34E-EA37-4EF9-9F5B-BA1BD4AAAB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18</xdr:row>
      <xdr:rowOff>181428</xdr:rowOff>
    </xdr:from>
    <xdr:to>
      <xdr:col>16</xdr:col>
      <xdr:colOff>0</xdr:colOff>
      <xdr:row>36</xdr:row>
      <xdr:rowOff>9070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D6E71DA2-3DDF-48FD-AFB4-FBEDC8DB78E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81550" y="3496128"/>
              <a:ext cx="5486400" cy="314234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15</xdr:col>
      <xdr:colOff>589642</xdr:colOff>
      <xdr:row>17</xdr:row>
      <xdr:rowOff>163285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0E9FF9-FBD8-4862-B1B8-3765650D78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19</xdr:row>
      <xdr:rowOff>0</xdr:rowOff>
    </xdr:from>
    <xdr:to>
      <xdr:col>16</xdr:col>
      <xdr:colOff>0</xdr:colOff>
      <xdr:row>36</xdr:row>
      <xdr:rowOff>18142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7ADAB88A-480B-4E53-8029-1F7A2661318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81550" y="3498850"/>
              <a:ext cx="5486400" cy="314869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16</xdr:col>
      <xdr:colOff>589642</xdr:colOff>
      <xdr:row>17</xdr:row>
      <xdr:rowOff>163285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0B7204-93B7-482E-B48D-E182F47356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16</xdr:col>
      <xdr:colOff>589642</xdr:colOff>
      <xdr:row>17</xdr:row>
      <xdr:rowOff>163285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C06025-9B65-4903-AFC6-F2D4FAFF38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F89AD-A3DC-44EC-89D3-3A43908B6FA8}">
  <dimension ref="B2:K90"/>
  <sheetViews>
    <sheetView tabSelected="1" zoomScale="70" zoomScaleNormal="70" workbookViewId="0">
      <selection activeCell="Y8" sqref="Y8"/>
    </sheetView>
  </sheetViews>
  <sheetFormatPr defaultRowHeight="14.5" x14ac:dyDescent="0.35"/>
  <cols>
    <col min="1" max="1" width="3.453125" customWidth="1"/>
    <col min="2" max="2" width="11.6328125" style="1" bestFit="1" customWidth="1"/>
    <col min="3" max="3" width="8.7265625" style="7"/>
    <col min="4" max="5" width="9.08984375" style="7" customWidth="1"/>
    <col min="7" max="7" width="13.7265625" bestFit="1" customWidth="1"/>
    <col min="8" max="11" width="11.1796875" customWidth="1"/>
  </cols>
  <sheetData>
    <row r="2" spans="2:11" s="16" customFormat="1" x14ac:dyDescent="0.35">
      <c r="B2" s="14" t="s">
        <v>28</v>
      </c>
      <c r="C2" s="15" t="s">
        <v>29</v>
      </c>
      <c r="D2" s="15" t="s">
        <v>30</v>
      </c>
      <c r="E2" s="15" t="s">
        <v>31</v>
      </c>
      <c r="H2" s="15" t="s">
        <v>29</v>
      </c>
      <c r="I2" s="15" t="s">
        <v>30</v>
      </c>
      <c r="J2" s="15" t="s">
        <v>31</v>
      </c>
      <c r="K2" s="17"/>
    </row>
    <row r="3" spans="2:11" x14ac:dyDescent="0.35">
      <c r="B3" s="1" t="s">
        <v>32</v>
      </c>
      <c r="C3" s="18">
        <v>0</v>
      </c>
      <c r="E3" s="18"/>
      <c r="G3" s="19" t="s">
        <v>33</v>
      </c>
      <c r="H3" s="17">
        <f>SUMPRODUCT($B$10:$B$90,C10:C90)</f>
        <v>8.2355997021998917E-16</v>
      </c>
      <c r="I3" s="17">
        <f>SUMPRODUCT($B$10:$B$90,D10:D90)</f>
        <v>4.9999999999999991</v>
      </c>
      <c r="J3" s="17">
        <f>SUMPRODUCT($B$10:$B$90,E10:E90)</f>
        <v>14.999999987494741</v>
      </c>
      <c r="K3" s="17"/>
    </row>
    <row r="4" spans="2:11" x14ac:dyDescent="0.35">
      <c r="B4" s="1" t="s">
        <v>14</v>
      </c>
      <c r="C4" s="18">
        <v>10</v>
      </c>
      <c r="D4" s="18"/>
      <c r="E4" s="18"/>
      <c r="G4" s="17"/>
      <c r="H4" s="17"/>
      <c r="I4" s="17"/>
      <c r="J4" s="17"/>
      <c r="K4" s="17"/>
    </row>
    <row r="5" spans="2:11" x14ac:dyDescent="0.35">
      <c r="B5" s="1" t="s">
        <v>34</v>
      </c>
      <c r="C5" s="18"/>
      <c r="D5" s="18">
        <v>5</v>
      </c>
      <c r="E5" s="18"/>
      <c r="G5" s="17"/>
      <c r="H5" s="17"/>
      <c r="I5" s="17"/>
      <c r="J5" s="17"/>
      <c r="K5" s="17"/>
    </row>
    <row r="6" spans="2:11" x14ac:dyDescent="0.35">
      <c r="B6" s="1" t="s">
        <v>35</v>
      </c>
      <c r="C6" s="18"/>
      <c r="D6" s="18"/>
      <c r="E6" s="18">
        <v>100</v>
      </c>
    </row>
    <row r="7" spans="2:11" x14ac:dyDescent="0.35">
      <c r="B7" s="1" t="s">
        <v>36</v>
      </c>
      <c r="C7" s="18"/>
      <c r="D7" s="18"/>
      <c r="E7" s="18">
        <v>0.15</v>
      </c>
    </row>
    <row r="9" spans="2:11" s="16" customFormat="1" x14ac:dyDescent="0.35">
      <c r="B9" s="20" t="s">
        <v>24</v>
      </c>
      <c r="C9" s="15" t="s">
        <v>29</v>
      </c>
      <c r="D9" s="15" t="s">
        <v>30</v>
      </c>
      <c r="E9" s="15" t="s">
        <v>31</v>
      </c>
    </row>
    <row r="10" spans="2:11" s="16" customFormat="1" x14ac:dyDescent="0.35">
      <c r="B10" s="1">
        <v>-40</v>
      </c>
      <c r="C10" s="7">
        <f t="shared" ref="C10:C73" si="0">_xlfn.NORM.DIST(B10,C$3,C$4,FALSE)</f>
        <v>1.3383022576488536E-5</v>
      </c>
      <c r="D10" s="7" t="str">
        <f t="shared" ref="D10:D73" si="1">IFERROR(_xlfn.POISSON.DIST(B10,D$5,FALSE),"-")</f>
        <v>-</v>
      </c>
      <c r="E10" s="7" t="str">
        <f t="shared" ref="E10:E73" si="2">IFERROR(_xlfn.BINOM.DIST(B10,E$6,E$7,FALSE),"-")</f>
        <v>-</v>
      </c>
    </row>
    <row r="11" spans="2:11" s="16" customFormat="1" x14ac:dyDescent="0.35">
      <c r="B11" s="1">
        <v>-39</v>
      </c>
      <c r="C11" s="7">
        <f t="shared" si="0"/>
        <v>1.9865547139277272E-5</v>
      </c>
      <c r="D11" s="7" t="str">
        <f t="shared" si="1"/>
        <v>-</v>
      </c>
      <c r="E11" s="7" t="str">
        <f t="shared" si="2"/>
        <v>-</v>
      </c>
    </row>
    <row r="12" spans="2:11" s="16" customFormat="1" x14ac:dyDescent="0.35">
      <c r="B12" s="1">
        <v>-38</v>
      </c>
      <c r="C12" s="7">
        <f t="shared" si="0"/>
        <v>2.9194692579146026E-5</v>
      </c>
      <c r="D12" s="7" t="str">
        <f t="shared" si="1"/>
        <v>-</v>
      </c>
      <c r="E12" s="7" t="str">
        <f t="shared" si="2"/>
        <v>-</v>
      </c>
    </row>
    <row r="13" spans="2:11" s="16" customFormat="1" x14ac:dyDescent="0.35">
      <c r="B13" s="1">
        <v>-37</v>
      </c>
      <c r="C13" s="7">
        <f t="shared" si="0"/>
        <v>4.2478027055075142E-5</v>
      </c>
      <c r="D13" s="7" t="str">
        <f t="shared" si="1"/>
        <v>-</v>
      </c>
      <c r="E13" s="7" t="str">
        <f t="shared" si="2"/>
        <v>-</v>
      </c>
      <c r="G13" s="21" t="str">
        <f>"Normal/Gaussian - mean = "&amp;C3&amp;", stdev = "&amp;C4</f>
        <v>Normal/Gaussian - mean = 0, stdev = 10</v>
      </c>
    </row>
    <row r="14" spans="2:11" x14ac:dyDescent="0.35">
      <c r="B14" s="1">
        <v>-36</v>
      </c>
      <c r="C14" s="7">
        <f t="shared" si="0"/>
        <v>6.1190193011377187E-5</v>
      </c>
      <c r="D14" s="7" t="str">
        <f t="shared" si="1"/>
        <v>-</v>
      </c>
      <c r="E14" s="7" t="str">
        <f t="shared" si="2"/>
        <v>-</v>
      </c>
      <c r="G14" t="str">
        <f>"Poisson - mean = "&amp;D5</f>
        <v>Poisson - mean = 5</v>
      </c>
    </row>
    <row r="15" spans="2:11" x14ac:dyDescent="0.35">
      <c r="B15" s="1">
        <v>-35</v>
      </c>
      <c r="C15" s="7">
        <f t="shared" si="0"/>
        <v>8.726826950457601E-5</v>
      </c>
      <c r="D15" s="7" t="str">
        <f t="shared" si="1"/>
        <v>-</v>
      </c>
      <c r="E15" s="7" t="str">
        <f t="shared" si="2"/>
        <v>-</v>
      </c>
      <c r="G15" t="str">
        <f>"Binomial - n = "&amp;E6&amp;" p = "&amp;E7</f>
        <v>Binomial - n = 100 p = 0.15</v>
      </c>
    </row>
    <row r="16" spans="2:11" x14ac:dyDescent="0.35">
      <c r="B16" s="1">
        <v>-34</v>
      </c>
      <c r="C16" s="7">
        <f t="shared" si="0"/>
        <v>1.2322191684730198E-4</v>
      </c>
      <c r="D16" s="7" t="str">
        <f t="shared" si="1"/>
        <v>-</v>
      </c>
      <c r="E16" s="7" t="str">
        <f t="shared" si="2"/>
        <v>-</v>
      </c>
    </row>
    <row r="17" spans="2:5" x14ac:dyDescent="0.35">
      <c r="B17" s="1">
        <v>-33</v>
      </c>
      <c r="C17" s="7">
        <f t="shared" si="0"/>
        <v>1.722568939053681E-4</v>
      </c>
      <c r="D17" s="7" t="str">
        <f t="shared" si="1"/>
        <v>-</v>
      </c>
      <c r="E17" s="7" t="str">
        <f t="shared" si="2"/>
        <v>-</v>
      </c>
    </row>
    <row r="18" spans="2:5" x14ac:dyDescent="0.35">
      <c r="B18" s="1">
        <v>-32</v>
      </c>
      <c r="C18" s="7">
        <f t="shared" si="0"/>
        <v>2.3840882014648405E-4</v>
      </c>
      <c r="D18" s="7" t="str">
        <f t="shared" si="1"/>
        <v>-</v>
      </c>
      <c r="E18" s="7" t="str">
        <f t="shared" si="2"/>
        <v>-</v>
      </c>
    </row>
    <row r="19" spans="2:5" x14ac:dyDescent="0.35">
      <c r="B19" s="1">
        <v>-31</v>
      </c>
      <c r="C19" s="7">
        <f t="shared" si="0"/>
        <v>3.2668190561999186E-4</v>
      </c>
      <c r="D19" s="7" t="str">
        <f t="shared" si="1"/>
        <v>-</v>
      </c>
      <c r="E19" s="7" t="str">
        <f t="shared" si="2"/>
        <v>-</v>
      </c>
    </row>
    <row r="20" spans="2:5" x14ac:dyDescent="0.35">
      <c r="B20" s="1">
        <v>-30</v>
      </c>
      <c r="C20" s="7">
        <f t="shared" si="0"/>
        <v>4.4318484119380076E-4</v>
      </c>
      <c r="D20" s="7" t="str">
        <f t="shared" si="1"/>
        <v>-</v>
      </c>
      <c r="E20" s="7" t="str">
        <f t="shared" si="2"/>
        <v>-</v>
      </c>
    </row>
    <row r="21" spans="2:5" x14ac:dyDescent="0.35">
      <c r="B21" s="1">
        <v>-29</v>
      </c>
      <c r="C21" s="7">
        <f t="shared" si="0"/>
        <v>5.9525324197758534E-4</v>
      </c>
      <c r="D21" s="7" t="str">
        <f t="shared" si="1"/>
        <v>-</v>
      </c>
      <c r="E21" s="7" t="str">
        <f t="shared" si="2"/>
        <v>-</v>
      </c>
    </row>
    <row r="22" spans="2:5" x14ac:dyDescent="0.35">
      <c r="B22" s="1">
        <v>-28</v>
      </c>
      <c r="C22" s="7">
        <f t="shared" si="0"/>
        <v>7.9154515829799694E-4</v>
      </c>
      <c r="D22" s="7" t="str">
        <f t="shared" si="1"/>
        <v>-</v>
      </c>
      <c r="E22" s="7" t="str">
        <f t="shared" si="2"/>
        <v>-</v>
      </c>
    </row>
    <row r="23" spans="2:5" x14ac:dyDescent="0.35">
      <c r="B23" s="1">
        <v>-27</v>
      </c>
      <c r="C23" s="7">
        <f t="shared" si="0"/>
        <v>1.0420934814422591E-3</v>
      </c>
      <c r="D23" s="7" t="str">
        <f t="shared" si="1"/>
        <v>-</v>
      </c>
      <c r="E23" s="7" t="str">
        <f t="shared" si="2"/>
        <v>-</v>
      </c>
    </row>
    <row r="24" spans="2:5" x14ac:dyDescent="0.35">
      <c r="B24" s="1">
        <v>-26</v>
      </c>
      <c r="C24" s="7">
        <f t="shared" si="0"/>
        <v>1.3582969233685612E-3</v>
      </c>
      <c r="D24" s="7" t="str">
        <f t="shared" si="1"/>
        <v>-</v>
      </c>
      <c r="E24" s="7" t="str">
        <f t="shared" si="2"/>
        <v>-</v>
      </c>
    </row>
    <row r="25" spans="2:5" x14ac:dyDescent="0.35">
      <c r="B25" s="1">
        <v>-25</v>
      </c>
      <c r="C25" s="7">
        <f t="shared" si="0"/>
        <v>1.752830049356854E-3</v>
      </c>
      <c r="D25" s="7" t="str">
        <f t="shared" si="1"/>
        <v>-</v>
      </c>
      <c r="E25" s="7" t="str">
        <f t="shared" si="2"/>
        <v>-</v>
      </c>
    </row>
    <row r="26" spans="2:5" x14ac:dyDescent="0.35">
      <c r="B26" s="1">
        <v>-24</v>
      </c>
      <c r="C26" s="7">
        <f t="shared" si="0"/>
        <v>2.2394530294842902E-3</v>
      </c>
      <c r="D26" s="7" t="str">
        <f t="shared" si="1"/>
        <v>-</v>
      </c>
      <c r="E26" s="7" t="str">
        <f t="shared" si="2"/>
        <v>-</v>
      </c>
    </row>
    <row r="27" spans="2:5" x14ac:dyDescent="0.35">
      <c r="B27" s="1">
        <v>-23</v>
      </c>
      <c r="C27" s="7">
        <f t="shared" si="0"/>
        <v>2.8327037741601186E-3</v>
      </c>
      <c r="D27" s="7" t="str">
        <f t="shared" si="1"/>
        <v>-</v>
      </c>
      <c r="E27" s="7" t="str">
        <f t="shared" si="2"/>
        <v>-</v>
      </c>
    </row>
    <row r="28" spans="2:5" x14ac:dyDescent="0.35">
      <c r="B28" s="1">
        <v>-22</v>
      </c>
      <c r="C28" s="7">
        <f t="shared" si="0"/>
        <v>3.5474592846231421E-3</v>
      </c>
      <c r="D28" s="7" t="str">
        <f t="shared" si="1"/>
        <v>-</v>
      </c>
      <c r="E28" s="7" t="str">
        <f t="shared" si="2"/>
        <v>-</v>
      </c>
    </row>
    <row r="29" spans="2:5" x14ac:dyDescent="0.35">
      <c r="B29" s="1">
        <v>-21</v>
      </c>
      <c r="C29" s="7">
        <f t="shared" si="0"/>
        <v>4.3983595980427196E-3</v>
      </c>
      <c r="D29" s="7" t="str">
        <f t="shared" si="1"/>
        <v>-</v>
      </c>
      <c r="E29" s="7" t="str">
        <f t="shared" si="2"/>
        <v>-</v>
      </c>
    </row>
    <row r="30" spans="2:5" x14ac:dyDescent="0.35">
      <c r="B30" s="1">
        <v>-20</v>
      </c>
      <c r="C30" s="7">
        <f t="shared" si="0"/>
        <v>5.3990966513188061E-3</v>
      </c>
      <c r="D30" s="7" t="str">
        <f t="shared" si="1"/>
        <v>-</v>
      </c>
      <c r="E30" s="7" t="str">
        <f t="shared" si="2"/>
        <v>-</v>
      </c>
    </row>
    <row r="31" spans="2:5" x14ac:dyDescent="0.35">
      <c r="B31" s="1">
        <v>-19</v>
      </c>
      <c r="C31" s="7">
        <f t="shared" si="0"/>
        <v>6.5615814774676604E-3</v>
      </c>
      <c r="D31" s="7" t="str">
        <f t="shared" si="1"/>
        <v>-</v>
      </c>
      <c r="E31" s="7" t="str">
        <f t="shared" si="2"/>
        <v>-</v>
      </c>
    </row>
    <row r="32" spans="2:5" x14ac:dyDescent="0.35">
      <c r="B32" s="1">
        <v>-18</v>
      </c>
      <c r="C32" s="7">
        <f t="shared" si="0"/>
        <v>7.8950158300894139E-3</v>
      </c>
      <c r="D32" s="7" t="str">
        <f t="shared" si="1"/>
        <v>-</v>
      </c>
      <c r="E32" s="7" t="str">
        <f t="shared" si="2"/>
        <v>-</v>
      </c>
    </row>
    <row r="33" spans="2:5" x14ac:dyDescent="0.35">
      <c r="B33" s="1">
        <v>-17</v>
      </c>
      <c r="C33" s="7">
        <f t="shared" si="0"/>
        <v>9.4049077376886937E-3</v>
      </c>
      <c r="D33" s="7" t="str">
        <f t="shared" si="1"/>
        <v>-</v>
      </c>
      <c r="E33" s="7" t="str">
        <f t="shared" si="2"/>
        <v>-</v>
      </c>
    </row>
    <row r="34" spans="2:5" x14ac:dyDescent="0.35">
      <c r="B34" s="1">
        <v>-16</v>
      </c>
      <c r="C34" s="7">
        <f t="shared" si="0"/>
        <v>1.1092083467945555E-2</v>
      </c>
      <c r="D34" s="7" t="str">
        <f t="shared" si="1"/>
        <v>-</v>
      </c>
      <c r="E34" s="7" t="str">
        <f t="shared" si="2"/>
        <v>-</v>
      </c>
    </row>
    <row r="35" spans="2:5" x14ac:dyDescent="0.35">
      <c r="B35" s="1">
        <v>-15</v>
      </c>
      <c r="C35" s="7">
        <f t="shared" si="0"/>
        <v>1.2951759566589173E-2</v>
      </c>
      <c r="D35" s="7" t="str">
        <f t="shared" si="1"/>
        <v>-</v>
      </c>
      <c r="E35" s="7" t="str">
        <f t="shared" si="2"/>
        <v>-</v>
      </c>
    </row>
    <row r="36" spans="2:5" x14ac:dyDescent="0.35">
      <c r="B36" s="1">
        <v>-14</v>
      </c>
      <c r="C36" s="7">
        <f t="shared" si="0"/>
        <v>1.4972746563574486E-2</v>
      </c>
      <c r="D36" s="7" t="str">
        <f t="shared" si="1"/>
        <v>-</v>
      </c>
      <c r="E36" s="7" t="str">
        <f t="shared" si="2"/>
        <v>-</v>
      </c>
    </row>
    <row r="37" spans="2:5" x14ac:dyDescent="0.35">
      <c r="B37" s="1">
        <v>-13</v>
      </c>
      <c r="C37" s="7">
        <f t="shared" si="0"/>
        <v>1.7136859204780735E-2</v>
      </c>
      <c r="D37" s="7" t="str">
        <f t="shared" si="1"/>
        <v>-</v>
      </c>
      <c r="E37" s="7" t="str">
        <f t="shared" si="2"/>
        <v>-</v>
      </c>
    </row>
    <row r="38" spans="2:5" x14ac:dyDescent="0.35">
      <c r="B38" s="1">
        <v>-12</v>
      </c>
      <c r="C38" s="7">
        <f t="shared" si="0"/>
        <v>1.9418605498321296E-2</v>
      </c>
      <c r="D38" s="7" t="str">
        <f t="shared" si="1"/>
        <v>-</v>
      </c>
      <c r="E38" s="7" t="str">
        <f t="shared" si="2"/>
        <v>-</v>
      </c>
    </row>
    <row r="39" spans="2:5" x14ac:dyDescent="0.35">
      <c r="B39" s="1">
        <v>-11</v>
      </c>
      <c r="C39" s="7">
        <f t="shared" si="0"/>
        <v>2.1785217703255054E-2</v>
      </c>
      <c r="D39" s="7" t="str">
        <f t="shared" si="1"/>
        <v>-</v>
      </c>
      <c r="E39" s="7" t="str">
        <f t="shared" si="2"/>
        <v>-</v>
      </c>
    </row>
    <row r="40" spans="2:5" x14ac:dyDescent="0.35">
      <c r="B40" s="1">
        <v>-10</v>
      </c>
      <c r="C40" s="7">
        <f t="shared" si="0"/>
        <v>2.4197072451914336E-2</v>
      </c>
      <c r="D40" s="7" t="str">
        <f t="shared" si="1"/>
        <v>-</v>
      </c>
      <c r="E40" s="7" t="str">
        <f t="shared" si="2"/>
        <v>-</v>
      </c>
    </row>
    <row r="41" spans="2:5" x14ac:dyDescent="0.35">
      <c r="B41" s="1">
        <v>-9</v>
      </c>
      <c r="C41" s="7">
        <f t="shared" si="0"/>
        <v>2.6608524989875482E-2</v>
      </c>
      <c r="D41" s="7" t="str">
        <f t="shared" si="1"/>
        <v>-</v>
      </c>
      <c r="E41" s="7" t="str">
        <f t="shared" si="2"/>
        <v>-</v>
      </c>
    </row>
    <row r="42" spans="2:5" x14ac:dyDescent="0.35">
      <c r="B42" s="1">
        <v>-8</v>
      </c>
      <c r="C42" s="7">
        <f t="shared" si="0"/>
        <v>2.8969155276148274E-2</v>
      </c>
      <c r="D42" s="7" t="str">
        <f t="shared" si="1"/>
        <v>-</v>
      </c>
      <c r="E42" s="7" t="str">
        <f t="shared" si="2"/>
        <v>-</v>
      </c>
    </row>
    <row r="43" spans="2:5" x14ac:dyDescent="0.35">
      <c r="B43" s="1">
        <v>-7</v>
      </c>
      <c r="C43" s="7">
        <f t="shared" si="0"/>
        <v>3.1225393336676129E-2</v>
      </c>
      <c r="D43" s="7" t="str">
        <f t="shared" si="1"/>
        <v>-</v>
      </c>
      <c r="E43" s="7" t="str">
        <f t="shared" si="2"/>
        <v>-</v>
      </c>
    </row>
    <row r="44" spans="2:5" x14ac:dyDescent="0.35">
      <c r="B44" s="1">
        <v>-6</v>
      </c>
      <c r="C44" s="7">
        <f t="shared" si="0"/>
        <v>3.3322460289179963E-2</v>
      </c>
      <c r="D44" s="7" t="str">
        <f t="shared" si="1"/>
        <v>-</v>
      </c>
      <c r="E44" s="7" t="str">
        <f t="shared" si="2"/>
        <v>-</v>
      </c>
    </row>
    <row r="45" spans="2:5" x14ac:dyDescent="0.35">
      <c r="B45" s="1">
        <v>-5</v>
      </c>
      <c r="C45" s="7">
        <f t="shared" si="0"/>
        <v>3.5206532676429952E-2</v>
      </c>
      <c r="D45" s="7" t="str">
        <f t="shared" si="1"/>
        <v>-</v>
      </c>
      <c r="E45" s="7" t="str">
        <f t="shared" si="2"/>
        <v>-</v>
      </c>
    </row>
    <row r="46" spans="2:5" x14ac:dyDescent="0.35">
      <c r="B46" s="1">
        <v>-4</v>
      </c>
      <c r="C46" s="7">
        <f t="shared" si="0"/>
        <v>3.6827014030332332E-2</v>
      </c>
      <c r="D46" s="7" t="str">
        <f t="shared" si="1"/>
        <v>-</v>
      </c>
      <c r="E46" s="7" t="str">
        <f t="shared" si="2"/>
        <v>-</v>
      </c>
    </row>
    <row r="47" spans="2:5" x14ac:dyDescent="0.35">
      <c r="B47" s="1">
        <v>-3</v>
      </c>
      <c r="C47" s="7">
        <f t="shared" si="0"/>
        <v>3.8138781546052408E-2</v>
      </c>
      <c r="D47" s="7" t="str">
        <f t="shared" si="1"/>
        <v>-</v>
      </c>
      <c r="E47" s="7" t="str">
        <f t="shared" si="2"/>
        <v>-</v>
      </c>
    </row>
    <row r="48" spans="2:5" x14ac:dyDescent="0.35">
      <c r="B48" s="1">
        <v>-2</v>
      </c>
      <c r="C48" s="7">
        <f t="shared" si="0"/>
        <v>3.9104269397545591E-2</v>
      </c>
      <c r="D48" s="7" t="str">
        <f t="shared" si="1"/>
        <v>-</v>
      </c>
      <c r="E48" s="7" t="str">
        <f t="shared" si="2"/>
        <v>-</v>
      </c>
    </row>
    <row r="49" spans="2:5" x14ac:dyDescent="0.35">
      <c r="B49" s="1">
        <v>-1</v>
      </c>
      <c r="C49" s="7">
        <f t="shared" si="0"/>
        <v>3.9695254747701178E-2</v>
      </c>
      <c r="D49" s="7" t="str">
        <f t="shared" si="1"/>
        <v>-</v>
      </c>
      <c r="E49" s="7" t="str">
        <f t="shared" si="2"/>
        <v>-</v>
      </c>
    </row>
    <row r="50" spans="2:5" x14ac:dyDescent="0.35">
      <c r="B50" s="1">
        <v>0</v>
      </c>
      <c r="C50" s="7">
        <f t="shared" si="0"/>
        <v>3.9894228040143274E-2</v>
      </c>
      <c r="D50" s="7">
        <f t="shared" si="1"/>
        <v>6.737946999085467E-3</v>
      </c>
      <c r="E50" s="7">
        <f t="shared" si="2"/>
        <v>8.7476736301086376E-8</v>
      </c>
    </row>
    <row r="51" spans="2:5" x14ac:dyDescent="0.35">
      <c r="B51" s="1">
        <v>1</v>
      </c>
      <c r="C51" s="7">
        <f t="shared" si="0"/>
        <v>3.9695254747701178E-2</v>
      </c>
      <c r="D51" s="7">
        <f t="shared" si="1"/>
        <v>3.368973499542733E-2</v>
      </c>
      <c r="E51" s="7">
        <f t="shared" si="2"/>
        <v>1.5437071111956413E-6</v>
      </c>
    </row>
    <row r="52" spans="2:5" x14ac:dyDescent="0.35">
      <c r="B52" s="1">
        <v>2</v>
      </c>
      <c r="C52" s="7">
        <f t="shared" si="0"/>
        <v>3.9104269397545591E-2</v>
      </c>
      <c r="D52" s="7">
        <f t="shared" si="1"/>
        <v>8.4224337488568335E-2</v>
      </c>
      <c r="E52" s="7">
        <f t="shared" si="2"/>
        <v>1.3484735647797155E-5</v>
      </c>
    </row>
    <row r="53" spans="2:5" x14ac:dyDescent="0.35">
      <c r="B53" s="1">
        <v>3</v>
      </c>
      <c r="C53" s="7">
        <f t="shared" si="0"/>
        <v>3.8138781546052408E-2</v>
      </c>
      <c r="D53" s="7">
        <f t="shared" si="1"/>
        <v>0.14037389581428059</v>
      </c>
      <c r="E53" s="7">
        <f t="shared" si="2"/>
        <v>7.7735534910830785E-5</v>
      </c>
    </row>
    <row r="54" spans="2:5" x14ac:dyDescent="0.35">
      <c r="B54" s="1">
        <v>4</v>
      </c>
      <c r="C54" s="7">
        <f t="shared" si="0"/>
        <v>3.6827014030332332E-2</v>
      </c>
      <c r="D54" s="7">
        <f t="shared" si="1"/>
        <v>0.17546736976785074</v>
      </c>
      <c r="E54" s="7">
        <f t="shared" si="2"/>
        <v>3.3266236263311397E-4</v>
      </c>
    </row>
    <row r="55" spans="2:5" x14ac:dyDescent="0.35">
      <c r="B55" s="1">
        <v>5</v>
      </c>
      <c r="C55" s="7">
        <f t="shared" si="0"/>
        <v>3.5206532676429952E-2</v>
      </c>
      <c r="D55" s="7">
        <f t="shared" si="1"/>
        <v>0.17546736976785071</v>
      </c>
      <c r="E55" s="7">
        <f t="shared" si="2"/>
        <v>1.1271383580980841E-3</v>
      </c>
    </row>
    <row r="56" spans="2:5" x14ac:dyDescent="0.35">
      <c r="B56" s="1">
        <v>6</v>
      </c>
      <c r="C56" s="7">
        <f t="shared" si="0"/>
        <v>3.3322460289179963E-2</v>
      </c>
      <c r="D56" s="7">
        <f t="shared" si="1"/>
        <v>0.14622280813987559</v>
      </c>
      <c r="E56" s="7">
        <f t="shared" si="2"/>
        <v>3.1493571770387571E-3</v>
      </c>
    </row>
    <row r="57" spans="2:5" x14ac:dyDescent="0.35">
      <c r="B57" s="1">
        <v>7</v>
      </c>
      <c r="C57" s="7">
        <f t="shared" si="0"/>
        <v>3.1225393336676129E-2</v>
      </c>
      <c r="D57" s="7">
        <f t="shared" si="1"/>
        <v>0.104444862957054</v>
      </c>
      <c r="E57" s="7">
        <f t="shared" si="2"/>
        <v>7.4631825539909977E-3</v>
      </c>
    </row>
    <row r="58" spans="2:5" x14ac:dyDescent="0.35">
      <c r="B58" s="1">
        <v>8</v>
      </c>
      <c r="C58" s="7">
        <f t="shared" si="0"/>
        <v>2.8969155276148274E-2</v>
      </c>
      <c r="D58" s="7">
        <f t="shared" si="1"/>
        <v>6.5278039348158706E-2</v>
      </c>
      <c r="E58" s="7">
        <f t="shared" si="2"/>
        <v>1.5310499504143323E-2</v>
      </c>
    </row>
    <row r="59" spans="2:5" x14ac:dyDescent="0.35">
      <c r="B59" s="1">
        <v>9</v>
      </c>
      <c r="C59" s="7">
        <f t="shared" si="0"/>
        <v>2.6608524989875482E-2</v>
      </c>
      <c r="D59" s="7">
        <f t="shared" si="1"/>
        <v>3.6265577415643749E-2</v>
      </c>
      <c r="E59" s="7">
        <f t="shared" si="2"/>
        <v>2.7618940281984024E-2</v>
      </c>
    </row>
    <row r="60" spans="2:5" x14ac:dyDescent="0.35">
      <c r="B60" s="1">
        <v>10</v>
      </c>
      <c r="C60" s="7">
        <f t="shared" si="0"/>
        <v>2.4197072451914336E-2</v>
      </c>
      <c r="D60" s="7">
        <f t="shared" si="1"/>
        <v>1.8132788707821874E-2</v>
      </c>
      <c r="E60" s="7">
        <f t="shared" si="2"/>
        <v>4.435276880577433E-2</v>
      </c>
    </row>
    <row r="61" spans="2:5" x14ac:dyDescent="0.35">
      <c r="B61" s="1">
        <v>11</v>
      </c>
      <c r="C61" s="7">
        <f t="shared" si="0"/>
        <v>2.1785217703255054E-2</v>
      </c>
      <c r="D61" s="7">
        <f t="shared" si="1"/>
        <v>8.2421766853735742E-3</v>
      </c>
      <c r="E61" s="7">
        <f t="shared" si="2"/>
        <v>6.4038757099246349E-2</v>
      </c>
    </row>
    <row r="62" spans="2:5" x14ac:dyDescent="0.35">
      <c r="B62" s="1">
        <v>12</v>
      </c>
      <c r="C62" s="7">
        <f t="shared" si="0"/>
        <v>1.9418605498321296E-2</v>
      </c>
      <c r="D62" s="7">
        <f t="shared" si="1"/>
        <v>3.4342402855723282E-3</v>
      </c>
      <c r="E62" s="7">
        <f t="shared" si="2"/>
        <v>8.3815432085778338E-2</v>
      </c>
    </row>
    <row r="63" spans="2:5" x14ac:dyDescent="0.35">
      <c r="B63" s="1">
        <v>13</v>
      </c>
      <c r="C63" s="7">
        <f t="shared" si="0"/>
        <v>1.7136859204780735E-2</v>
      </c>
      <c r="D63" s="7">
        <f t="shared" si="1"/>
        <v>1.3208616482970471E-3</v>
      </c>
      <c r="E63" s="7">
        <f t="shared" si="2"/>
        <v>0.10012341208436869</v>
      </c>
    </row>
    <row r="64" spans="2:5" x14ac:dyDescent="0.35">
      <c r="B64" s="1">
        <v>14</v>
      </c>
      <c r="C64" s="7">
        <f t="shared" si="0"/>
        <v>1.4972746563574486E-2</v>
      </c>
      <c r="D64" s="7">
        <f t="shared" si="1"/>
        <v>4.7173630296323246E-4</v>
      </c>
      <c r="E64" s="7">
        <f t="shared" si="2"/>
        <v>0.10979920400848836</v>
      </c>
    </row>
    <row r="65" spans="2:5" x14ac:dyDescent="0.35">
      <c r="B65" s="1">
        <v>15</v>
      </c>
      <c r="C65" s="7">
        <f t="shared" si="0"/>
        <v>1.2951759566589173E-2</v>
      </c>
      <c r="D65" s="7">
        <f t="shared" si="1"/>
        <v>1.5724543432107704E-4</v>
      </c>
      <c r="E65" s="7">
        <f t="shared" si="2"/>
        <v>0.11109095934976466</v>
      </c>
    </row>
    <row r="66" spans="2:5" x14ac:dyDescent="0.35">
      <c r="B66" s="1">
        <v>16</v>
      </c>
      <c r="C66" s="7">
        <f t="shared" si="0"/>
        <v>1.1092083467945555E-2</v>
      </c>
      <c r="D66" s="7">
        <f t="shared" si="1"/>
        <v>4.9139198225336609E-5</v>
      </c>
      <c r="E66" s="7">
        <f t="shared" si="2"/>
        <v>0.1041477743904044</v>
      </c>
    </row>
    <row r="67" spans="2:5" x14ac:dyDescent="0.35">
      <c r="B67" s="1">
        <v>17</v>
      </c>
      <c r="C67" s="7">
        <f t="shared" si="0"/>
        <v>9.4049077376886937E-3</v>
      </c>
      <c r="D67" s="7">
        <f t="shared" si="1"/>
        <v>1.4452705360393124E-5</v>
      </c>
      <c r="E67" s="7">
        <f t="shared" si="2"/>
        <v>9.0813976285058454E-2</v>
      </c>
    </row>
    <row r="68" spans="2:5" x14ac:dyDescent="0.35">
      <c r="B68" s="1">
        <v>18</v>
      </c>
      <c r="C68" s="7">
        <f t="shared" si="0"/>
        <v>7.8950158300894139E-3</v>
      </c>
      <c r="D68" s="7">
        <f t="shared" si="1"/>
        <v>4.0146403778869831E-6</v>
      </c>
      <c r="E68" s="7">
        <f t="shared" si="2"/>
        <v>7.3897647369214309E-2</v>
      </c>
    </row>
    <row r="69" spans="2:5" x14ac:dyDescent="0.35">
      <c r="B69" s="1">
        <v>19</v>
      </c>
      <c r="C69" s="7">
        <f t="shared" si="0"/>
        <v>6.5615814774676604E-3</v>
      </c>
      <c r="D69" s="7">
        <f t="shared" si="1"/>
        <v>1.0564843099702586E-6</v>
      </c>
      <c r="E69" s="7">
        <f t="shared" si="2"/>
        <v>5.6281180349308686E-2</v>
      </c>
    </row>
    <row r="70" spans="2:5" x14ac:dyDescent="0.35">
      <c r="B70" s="1">
        <v>20</v>
      </c>
      <c r="C70" s="7">
        <f t="shared" si="0"/>
        <v>5.3990966513188061E-3</v>
      </c>
      <c r="D70" s="7">
        <f t="shared" si="1"/>
        <v>2.6412107749256427E-7</v>
      </c>
      <c r="E70" s="7">
        <f t="shared" si="2"/>
        <v>4.02244906614177E-2</v>
      </c>
    </row>
    <row r="71" spans="2:5" x14ac:dyDescent="0.35">
      <c r="B71" s="1">
        <v>21</v>
      </c>
      <c r="C71" s="7">
        <f t="shared" si="0"/>
        <v>4.3983595980427196E-3</v>
      </c>
      <c r="D71" s="7">
        <f t="shared" si="1"/>
        <v>6.2885970831562693E-8</v>
      </c>
      <c r="E71" s="7">
        <f t="shared" si="2"/>
        <v>2.7041674394230383E-2</v>
      </c>
    </row>
    <row r="72" spans="2:5" x14ac:dyDescent="0.35">
      <c r="B72" s="1">
        <v>22</v>
      </c>
      <c r="C72" s="7">
        <f t="shared" si="0"/>
        <v>3.5474592846231421E-3</v>
      </c>
      <c r="D72" s="7">
        <f t="shared" si="1"/>
        <v>1.4292266098082472E-8</v>
      </c>
      <c r="E72" s="7">
        <f t="shared" si="2"/>
        <v>1.7136034308643307E-2</v>
      </c>
    </row>
    <row r="73" spans="2:5" x14ac:dyDescent="0.35">
      <c r="B73" s="1">
        <v>23</v>
      </c>
      <c r="C73" s="7">
        <f t="shared" si="0"/>
        <v>2.8327037741601186E-3</v>
      </c>
      <c r="D73" s="7">
        <f t="shared" si="1"/>
        <v>3.1070143691483715E-9</v>
      </c>
      <c r="E73" s="7">
        <f t="shared" si="2"/>
        <v>1.0255324880364536E-2</v>
      </c>
    </row>
    <row r="74" spans="2:5" x14ac:dyDescent="0.35">
      <c r="B74" s="1">
        <v>24</v>
      </c>
      <c r="C74" s="7">
        <f t="shared" ref="C74:C90" si="3">_xlfn.NORM.DIST(B74,C$3,C$4,FALSE)</f>
        <v>2.2394530294842902E-3</v>
      </c>
      <c r="D74" s="7">
        <f t="shared" ref="D74:D90" si="4">IFERROR(_xlfn.POISSON.DIST(B74,D$5,FALSE),"-")</f>
        <v>6.4729466023924485E-10</v>
      </c>
      <c r="E74" s="7">
        <f t="shared" ref="E74:E90" si="5">IFERROR(_xlfn.BINOM.DIST(B74,E$6,E$7,FALSE),"-")</f>
        <v>5.8063236455004989E-3</v>
      </c>
    </row>
    <row r="75" spans="2:5" x14ac:dyDescent="0.35">
      <c r="B75" s="1">
        <v>25</v>
      </c>
      <c r="C75" s="7">
        <f t="shared" si="3"/>
        <v>1.752830049356854E-3</v>
      </c>
      <c r="D75" s="7">
        <f t="shared" si="4"/>
        <v>1.2945893204784874E-10</v>
      </c>
      <c r="E75" s="7">
        <f t="shared" si="5"/>
        <v>3.114921861586158E-3</v>
      </c>
    </row>
    <row r="76" spans="2:5" x14ac:dyDescent="0.35">
      <c r="B76" s="1">
        <v>26</v>
      </c>
      <c r="C76" s="7">
        <f t="shared" si="3"/>
        <v>1.3582969233685612E-3</v>
      </c>
      <c r="D76" s="7">
        <f t="shared" si="4"/>
        <v>2.4895948470740127E-11</v>
      </c>
      <c r="E76" s="7">
        <f t="shared" si="5"/>
        <v>1.5856502689069816E-3</v>
      </c>
    </row>
    <row r="77" spans="2:5" x14ac:dyDescent="0.35">
      <c r="B77" s="1">
        <v>27</v>
      </c>
      <c r="C77" s="7">
        <f t="shared" si="3"/>
        <v>1.0420934814422591E-3</v>
      </c>
      <c r="D77" s="7">
        <f t="shared" si="4"/>
        <v>4.6103608279148155E-12</v>
      </c>
      <c r="E77" s="7">
        <f t="shared" si="5"/>
        <v>7.6691581633409327E-4</v>
      </c>
    </row>
    <row r="78" spans="2:5" x14ac:dyDescent="0.35">
      <c r="B78" s="1">
        <v>28</v>
      </c>
      <c r="C78" s="7">
        <f t="shared" si="3"/>
        <v>7.9154515829799694E-4</v>
      </c>
      <c r="D78" s="7">
        <f t="shared" si="4"/>
        <v>8.2327871927050559E-13</v>
      </c>
      <c r="E78" s="7">
        <f t="shared" si="5"/>
        <v>3.5284572222093856E-4</v>
      </c>
    </row>
    <row r="79" spans="2:5" x14ac:dyDescent="0.35">
      <c r="B79" s="1">
        <v>29</v>
      </c>
      <c r="C79" s="7">
        <f t="shared" si="3"/>
        <v>5.9525324197758534E-4</v>
      </c>
      <c r="D79" s="7">
        <f t="shared" si="4"/>
        <v>1.419446067707773E-13</v>
      </c>
      <c r="E79" s="7">
        <f t="shared" si="5"/>
        <v>1.5459366328544172E-4</v>
      </c>
    </row>
    <row r="80" spans="2:5" x14ac:dyDescent="0.35">
      <c r="B80" s="1">
        <v>30</v>
      </c>
      <c r="C80" s="7">
        <f t="shared" si="3"/>
        <v>4.4318484119380076E-4</v>
      </c>
      <c r="D80" s="7">
        <f t="shared" si="4"/>
        <v>2.3657434461796165E-14</v>
      </c>
      <c r="E80" s="7">
        <f t="shared" si="5"/>
        <v>6.4565588783919653E-5</v>
      </c>
    </row>
    <row r="81" spans="2:5" x14ac:dyDescent="0.35">
      <c r="B81" s="1">
        <v>31</v>
      </c>
      <c r="C81" s="7">
        <f t="shared" si="3"/>
        <v>3.2668190561999186E-4</v>
      </c>
      <c r="D81" s="7">
        <f t="shared" si="4"/>
        <v>3.8157152357735622E-15</v>
      </c>
      <c r="E81" s="7">
        <f t="shared" si="5"/>
        <v>2.5728223234578851E-5</v>
      </c>
    </row>
    <row r="82" spans="2:5" x14ac:dyDescent="0.35">
      <c r="B82" s="1">
        <v>32</v>
      </c>
      <c r="C82" s="7">
        <f t="shared" si="3"/>
        <v>2.3840882014648405E-4</v>
      </c>
      <c r="D82" s="7">
        <f t="shared" si="4"/>
        <v>5.9620550558961939E-16</v>
      </c>
      <c r="E82" s="7">
        <f t="shared" si="5"/>
        <v>9.7899672969813413E-6</v>
      </c>
    </row>
    <row r="83" spans="2:5" x14ac:dyDescent="0.35">
      <c r="B83" s="1">
        <v>33</v>
      </c>
      <c r="C83" s="7">
        <f t="shared" si="3"/>
        <v>1.722568939053681E-4</v>
      </c>
      <c r="D83" s="7">
        <f t="shared" si="4"/>
        <v>9.0334167513579496E-17</v>
      </c>
      <c r="E83" s="7">
        <f t="shared" si="5"/>
        <v>3.5599881079932168E-6</v>
      </c>
    </row>
    <row r="84" spans="2:5" x14ac:dyDescent="0.35">
      <c r="B84" s="1">
        <v>34</v>
      </c>
      <c r="C84" s="7">
        <f t="shared" si="3"/>
        <v>1.2322191684730198E-4</v>
      </c>
      <c r="D84" s="7">
        <f t="shared" si="4"/>
        <v>1.3284436399055676E-17</v>
      </c>
      <c r="E84" s="7">
        <f t="shared" si="5"/>
        <v>1.2379889441291354E-6</v>
      </c>
    </row>
    <row r="85" spans="2:5" x14ac:dyDescent="0.35">
      <c r="B85" s="1">
        <v>35</v>
      </c>
      <c r="C85" s="7">
        <f t="shared" si="3"/>
        <v>8.726826950457601E-5</v>
      </c>
      <c r="D85" s="7">
        <f t="shared" si="4"/>
        <v>1.8977766284365282E-18</v>
      </c>
      <c r="E85" s="7">
        <f t="shared" si="5"/>
        <v>4.1196943014717197E-7</v>
      </c>
    </row>
    <row r="86" spans="2:5" x14ac:dyDescent="0.35">
      <c r="B86" s="1">
        <v>36</v>
      </c>
      <c r="C86" s="7">
        <f t="shared" si="3"/>
        <v>6.1190193011377187E-5</v>
      </c>
      <c r="D86" s="7">
        <f t="shared" si="4"/>
        <v>2.6358008728285044E-19</v>
      </c>
      <c r="E86" s="7">
        <f t="shared" si="5"/>
        <v>1.3126476940963859E-7</v>
      </c>
    </row>
    <row r="87" spans="2:5" x14ac:dyDescent="0.35">
      <c r="B87" s="1">
        <v>37</v>
      </c>
      <c r="C87" s="7">
        <f t="shared" si="3"/>
        <v>4.2478027055075142E-5</v>
      </c>
      <c r="D87" s="7">
        <f t="shared" si="4"/>
        <v>3.5618930713898303E-20</v>
      </c>
      <c r="E87" s="7">
        <f t="shared" si="5"/>
        <v>4.0068101314229789E-8</v>
      </c>
    </row>
    <row r="88" spans="2:5" x14ac:dyDescent="0.35">
      <c r="B88" s="1">
        <v>38</v>
      </c>
      <c r="C88" s="7">
        <f t="shared" si="3"/>
        <v>2.9194692579146026E-5</v>
      </c>
      <c r="D88" s="7">
        <f t="shared" si="4"/>
        <v>4.6867014097235461E-21</v>
      </c>
      <c r="E88" s="7">
        <f t="shared" si="5"/>
        <v>1.1722710756020794E-8</v>
      </c>
    </row>
    <row r="89" spans="2:5" x14ac:dyDescent="0.35">
      <c r="B89" s="1">
        <v>39</v>
      </c>
      <c r="C89" s="7">
        <f t="shared" si="3"/>
        <v>1.9865547139277272E-5</v>
      </c>
      <c r="D89" s="7">
        <f t="shared" si="4"/>
        <v>6.0085915509275958E-22</v>
      </c>
      <c r="E89" s="7">
        <f t="shared" si="5"/>
        <v>3.2887242844945163E-9</v>
      </c>
    </row>
    <row r="90" spans="2:5" x14ac:dyDescent="0.35">
      <c r="B90" s="1">
        <v>40</v>
      </c>
      <c r="C90" s="7">
        <f t="shared" si="3"/>
        <v>1.3383022576488536E-5</v>
      </c>
      <c r="D90" s="7">
        <f t="shared" si="4"/>
        <v>7.5107394386595207E-23</v>
      </c>
      <c r="E90" s="7">
        <f t="shared" si="5"/>
        <v>8.850537412683858E-10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481D2-BC9F-4C82-91E1-CD532194F820}">
  <dimension ref="B1:J102"/>
  <sheetViews>
    <sheetView zoomScale="70" zoomScaleNormal="70" workbookViewId="0">
      <selection activeCell="I12" sqref="I12"/>
    </sheetView>
  </sheetViews>
  <sheetFormatPr defaultRowHeight="14.5" x14ac:dyDescent="0.35"/>
  <cols>
    <col min="1" max="1" width="3.36328125" style="1" customWidth="1"/>
    <col min="2" max="2" width="14.90625" style="1" bestFit="1" customWidth="1"/>
    <col min="3" max="3" width="8.7265625" style="1"/>
    <col min="4" max="4" width="8.7265625" style="1" customWidth="1"/>
    <col min="5" max="5" width="12" style="3" customWidth="1"/>
    <col min="6" max="6" width="12" style="2" customWidth="1"/>
    <col min="7" max="8" width="12" style="3" customWidth="1"/>
    <col min="9" max="16384" width="8.7265625" style="1"/>
  </cols>
  <sheetData>
    <row r="1" spans="2:10" x14ac:dyDescent="0.35">
      <c r="G1" s="3" t="s">
        <v>1</v>
      </c>
      <c r="H1" s="3" t="s">
        <v>2</v>
      </c>
    </row>
    <row r="2" spans="2:10" x14ac:dyDescent="0.35">
      <c r="B2" s="5" t="s">
        <v>9</v>
      </c>
      <c r="C2" s="5" t="s">
        <v>10</v>
      </c>
      <c r="E2" s="6" t="s">
        <v>3</v>
      </c>
      <c r="F2" s="6" t="s">
        <v>0</v>
      </c>
      <c r="G2" s="6" t="s">
        <v>4</v>
      </c>
      <c r="H2" s="6" t="s">
        <v>7</v>
      </c>
    </row>
    <row r="3" spans="2:10" x14ac:dyDescent="0.35">
      <c r="B3" s="1" t="s">
        <v>16</v>
      </c>
      <c r="C3" s="4">
        <v>0.7</v>
      </c>
      <c r="E3" s="3">
        <v>1</v>
      </c>
      <c r="F3" s="2">
        <f ca="1">RAND()</f>
        <v>0.96555013959290015</v>
      </c>
      <c r="G3" s="3">
        <f t="shared" ref="G3:G34" ca="1" si="0">IF(F3&lt;$C$3,1,0)</f>
        <v>0</v>
      </c>
      <c r="H3" s="3">
        <f t="shared" ref="H3:H34" ca="1" si="1">IF(F3&gt;$C$3,1,0)</f>
        <v>1</v>
      </c>
      <c r="J3" s="1" t="str">
        <f>"Theoretical Bernoulli Dist. - p = "&amp;C3</f>
        <v>Theoretical Bernoulli Dist. - p = 0.7</v>
      </c>
    </row>
    <row r="4" spans="2:10" x14ac:dyDescent="0.35">
      <c r="B4" s="1" t="s">
        <v>18</v>
      </c>
      <c r="C4" s="1">
        <f>1-C3</f>
        <v>0.30000000000000004</v>
      </c>
      <c r="E4" s="3">
        <v>2</v>
      </c>
      <c r="F4" s="2">
        <f t="shared" ref="F4:F67" ca="1" si="2">RAND()</f>
        <v>0.36352681044862734</v>
      </c>
      <c r="G4" s="3">
        <f t="shared" ca="1" si="0"/>
        <v>1</v>
      </c>
      <c r="H4" s="3">
        <f t="shared" ca="1" si="1"/>
        <v>0</v>
      </c>
    </row>
    <row r="5" spans="2:10" x14ac:dyDescent="0.35">
      <c r="E5" s="3">
        <v>3</v>
      </c>
      <c r="F5" s="2">
        <f t="shared" ca="1" si="2"/>
        <v>0.86464654513609507</v>
      </c>
      <c r="G5" s="3">
        <f t="shared" ca="1" si="0"/>
        <v>0</v>
      </c>
      <c r="H5" s="3">
        <f t="shared" ca="1" si="1"/>
        <v>1</v>
      </c>
    </row>
    <row r="6" spans="2:10" x14ac:dyDescent="0.35">
      <c r="E6" s="3">
        <v>4</v>
      </c>
      <c r="F6" s="2">
        <f t="shared" ca="1" si="2"/>
        <v>0.46029068238129922</v>
      </c>
      <c r="G6" s="3">
        <f t="shared" ca="1" si="0"/>
        <v>1</v>
      </c>
      <c r="H6" s="3">
        <f t="shared" ca="1" si="1"/>
        <v>0</v>
      </c>
    </row>
    <row r="7" spans="2:10" x14ac:dyDescent="0.35">
      <c r="B7" s="5" t="s">
        <v>11</v>
      </c>
      <c r="C7" s="5" t="s">
        <v>12</v>
      </c>
      <c r="E7" s="3">
        <v>5</v>
      </c>
      <c r="F7" s="2">
        <f t="shared" ca="1" si="2"/>
        <v>0.79622592938067793</v>
      </c>
      <c r="G7" s="3">
        <f t="shared" ca="1" si="0"/>
        <v>0</v>
      </c>
      <c r="H7" s="3">
        <f t="shared" ca="1" si="1"/>
        <v>1</v>
      </c>
    </row>
    <row r="8" spans="2:10" x14ac:dyDescent="0.35">
      <c r="B8" s="1" t="s">
        <v>6</v>
      </c>
      <c r="C8" s="1">
        <f ca="1">SUM(G:G)</f>
        <v>69</v>
      </c>
      <c r="E8" s="3">
        <v>6</v>
      </c>
      <c r="F8" s="2">
        <f t="shared" ca="1" si="2"/>
        <v>0.49860661648798799</v>
      </c>
      <c r="G8" s="3">
        <f t="shared" ca="1" si="0"/>
        <v>1</v>
      </c>
      <c r="H8" s="3">
        <f t="shared" ca="1" si="1"/>
        <v>0</v>
      </c>
    </row>
    <row r="9" spans="2:10" x14ac:dyDescent="0.35">
      <c r="B9" s="1" t="s">
        <v>5</v>
      </c>
      <c r="C9" s="1">
        <f ca="1">SUM(H:H)</f>
        <v>31</v>
      </c>
      <c r="E9" s="3">
        <v>7</v>
      </c>
      <c r="F9" s="2">
        <f t="shared" ca="1" si="2"/>
        <v>0.56783586597674984</v>
      </c>
      <c r="G9" s="3">
        <f t="shared" ca="1" si="0"/>
        <v>1</v>
      </c>
      <c r="H9" s="3">
        <f t="shared" ca="1" si="1"/>
        <v>0</v>
      </c>
    </row>
    <row r="10" spans="2:10" x14ac:dyDescent="0.35">
      <c r="E10" s="3">
        <v>8</v>
      </c>
      <c r="F10" s="2">
        <f t="shared" ca="1" si="2"/>
        <v>0.56076582673402897</v>
      </c>
      <c r="G10" s="3">
        <f t="shared" ca="1" si="0"/>
        <v>1</v>
      </c>
      <c r="H10" s="3">
        <f t="shared" ca="1" si="1"/>
        <v>0</v>
      </c>
    </row>
    <row r="11" spans="2:10" x14ac:dyDescent="0.35">
      <c r="E11" s="3">
        <v>9</v>
      </c>
      <c r="F11" s="2">
        <f t="shared" ca="1" si="2"/>
        <v>0.49693716400184862</v>
      </c>
      <c r="G11" s="3">
        <f t="shared" ca="1" si="0"/>
        <v>1</v>
      </c>
      <c r="H11" s="3">
        <f t="shared" ca="1" si="1"/>
        <v>0</v>
      </c>
    </row>
    <row r="12" spans="2:10" x14ac:dyDescent="0.35">
      <c r="E12" s="3">
        <v>10</v>
      </c>
      <c r="F12" s="2">
        <f t="shared" ca="1" si="2"/>
        <v>0.46853699151975803</v>
      </c>
      <c r="G12" s="3">
        <f t="shared" ca="1" si="0"/>
        <v>1</v>
      </c>
      <c r="H12" s="3">
        <f t="shared" ca="1" si="1"/>
        <v>0</v>
      </c>
    </row>
    <row r="13" spans="2:10" x14ac:dyDescent="0.35">
      <c r="E13" s="3">
        <v>11</v>
      </c>
      <c r="F13" s="2">
        <f t="shared" ca="1" si="2"/>
        <v>0.17251796199424951</v>
      </c>
      <c r="G13" s="3">
        <f t="shared" ca="1" si="0"/>
        <v>1</v>
      </c>
      <c r="H13" s="3">
        <f t="shared" ca="1" si="1"/>
        <v>0</v>
      </c>
    </row>
    <row r="14" spans="2:10" x14ac:dyDescent="0.35">
      <c r="E14" s="3">
        <v>12</v>
      </c>
      <c r="F14" s="2">
        <f t="shared" ca="1" si="2"/>
        <v>0.98316978189831117</v>
      </c>
      <c r="G14" s="3">
        <f t="shared" ca="1" si="0"/>
        <v>0</v>
      </c>
      <c r="H14" s="3">
        <f t="shared" ca="1" si="1"/>
        <v>1</v>
      </c>
    </row>
    <row r="15" spans="2:10" x14ac:dyDescent="0.35">
      <c r="E15" s="3">
        <v>13</v>
      </c>
      <c r="F15" s="2">
        <f t="shared" ca="1" si="2"/>
        <v>0.25593049126931311</v>
      </c>
      <c r="G15" s="3">
        <f t="shared" ca="1" si="0"/>
        <v>1</v>
      </c>
      <c r="H15" s="3">
        <f t="shared" ca="1" si="1"/>
        <v>0</v>
      </c>
    </row>
    <row r="16" spans="2:10" x14ac:dyDescent="0.35">
      <c r="E16" s="3">
        <v>14</v>
      </c>
      <c r="F16" s="2">
        <f t="shared" ca="1" si="2"/>
        <v>0.33906933616108514</v>
      </c>
      <c r="G16" s="3">
        <f t="shared" ca="1" si="0"/>
        <v>1</v>
      </c>
      <c r="H16" s="3">
        <f t="shared" ca="1" si="1"/>
        <v>0</v>
      </c>
    </row>
    <row r="17" spans="5:8" x14ac:dyDescent="0.35">
      <c r="E17" s="3">
        <v>15</v>
      </c>
      <c r="F17" s="2">
        <f t="shared" ca="1" si="2"/>
        <v>0.99125512390059445</v>
      </c>
      <c r="G17" s="3">
        <f t="shared" ca="1" si="0"/>
        <v>0</v>
      </c>
      <c r="H17" s="3">
        <f t="shared" ca="1" si="1"/>
        <v>1</v>
      </c>
    </row>
    <row r="18" spans="5:8" x14ac:dyDescent="0.35">
      <c r="E18" s="3">
        <v>16</v>
      </c>
      <c r="F18" s="2">
        <f t="shared" ca="1" si="2"/>
        <v>0.17042661495043465</v>
      </c>
      <c r="G18" s="3">
        <f t="shared" ca="1" si="0"/>
        <v>1</v>
      </c>
      <c r="H18" s="3">
        <f t="shared" ca="1" si="1"/>
        <v>0</v>
      </c>
    </row>
    <row r="19" spans="5:8" x14ac:dyDescent="0.35">
      <c r="E19" s="3">
        <v>17</v>
      </c>
      <c r="F19" s="2">
        <f t="shared" ca="1" si="2"/>
        <v>0.33415298672448257</v>
      </c>
      <c r="G19" s="3">
        <f t="shared" ca="1" si="0"/>
        <v>1</v>
      </c>
      <c r="H19" s="3">
        <f t="shared" ca="1" si="1"/>
        <v>0</v>
      </c>
    </row>
    <row r="20" spans="5:8" x14ac:dyDescent="0.35">
      <c r="E20" s="3">
        <v>18</v>
      </c>
      <c r="F20" s="2">
        <f t="shared" ca="1" si="2"/>
        <v>0.55548209275223559</v>
      </c>
      <c r="G20" s="3">
        <f t="shared" ca="1" si="0"/>
        <v>1</v>
      </c>
      <c r="H20" s="3">
        <f t="shared" ca="1" si="1"/>
        <v>0</v>
      </c>
    </row>
    <row r="21" spans="5:8" x14ac:dyDescent="0.35">
      <c r="E21" s="3">
        <v>19</v>
      </c>
      <c r="F21" s="2">
        <f t="shared" ca="1" si="2"/>
        <v>0.57139908677929563</v>
      </c>
      <c r="G21" s="3">
        <f t="shared" ca="1" si="0"/>
        <v>1</v>
      </c>
      <c r="H21" s="3">
        <f t="shared" ca="1" si="1"/>
        <v>0</v>
      </c>
    </row>
    <row r="22" spans="5:8" x14ac:dyDescent="0.35">
      <c r="E22" s="3">
        <v>20</v>
      </c>
      <c r="F22" s="2">
        <f t="shared" ca="1" si="2"/>
        <v>0.42772101479532176</v>
      </c>
      <c r="G22" s="3">
        <f t="shared" ca="1" si="0"/>
        <v>1</v>
      </c>
      <c r="H22" s="3">
        <f t="shared" ca="1" si="1"/>
        <v>0</v>
      </c>
    </row>
    <row r="23" spans="5:8" x14ac:dyDescent="0.35">
      <c r="E23" s="3">
        <v>21</v>
      </c>
      <c r="F23" s="2">
        <f t="shared" ca="1" si="2"/>
        <v>0.14076633590836907</v>
      </c>
      <c r="G23" s="3">
        <f t="shared" ca="1" si="0"/>
        <v>1</v>
      </c>
      <c r="H23" s="3">
        <f t="shared" ca="1" si="1"/>
        <v>0</v>
      </c>
    </row>
    <row r="24" spans="5:8" x14ac:dyDescent="0.35">
      <c r="E24" s="3">
        <v>22</v>
      </c>
      <c r="F24" s="2">
        <f t="shared" ca="1" si="2"/>
        <v>0.49942822570862255</v>
      </c>
      <c r="G24" s="3">
        <f t="shared" ca="1" si="0"/>
        <v>1</v>
      </c>
      <c r="H24" s="3">
        <f t="shared" ca="1" si="1"/>
        <v>0</v>
      </c>
    </row>
    <row r="25" spans="5:8" x14ac:dyDescent="0.35">
      <c r="E25" s="3">
        <v>23</v>
      </c>
      <c r="F25" s="2">
        <f t="shared" ca="1" si="2"/>
        <v>0.88788332130574044</v>
      </c>
      <c r="G25" s="3">
        <f t="shared" ca="1" si="0"/>
        <v>0</v>
      </c>
      <c r="H25" s="3">
        <f t="shared" ca="1" si="1"/>
        <v>1</v>
      </c>
    </row>
    <row r="26" spans="5:8" x14ac:dyDescent="0.35">
      <c r="E26" s="3">
        <v>24</v>
      </c>
      <c r="F26" s="2">
        <f t="shared" ca="1" si="2"/>
        <v>0.33299675066522427</v>
      </c>
      <c r="G26" s="3">
        <f t="shared" ca="1" si="0"/>
        <v>1</v>
      </c>
      <c r="H26" s="3">
        <f t="shared" ca="1" si="1"/>
        <v>0</v>
      </c>
    </row>
    <row r="27" spans="5:8" x14ac:dyDescent="0.35">
      <c r="E27" s="3">
        <v>25</v>
      </c>
      <c r="F27" s="2">
        <f t="shared" ca="1" si="2"/>
        <v>3.1420788143093126E-2</v>
      </c>
      <c r="G27" s="3">
        <f t="shared" ca="1" si="0"/>
        <v>1</v>
      </c>
      <c r="H27" s="3">
        <f t="shared" ca="1" si="1"/>
        <v>0</v>
      </c>
    </row>
    <row r="28" spans="5:8" x14ac:dyDescent="0.35">
      <c r="E28" s="3">
        <v>26</v>
      </c>
      <c r="F28" s="2">
        <f t="shared" ca="1" si="2"/>
        <v>0.72732930732928103</v>
      </c>
      <c r="G28" s="3">
        <f t="shared" ca="1" si="0"/>
        <v>0</v>
      </c>
      <c r="H28" s="3">
        <f t="shared" ca="1" si="1"/>
        <v>1</v>
      </c>
    </row>
    <row r="29" spans="5:8" x14ac:dyDescent="0.35">
      <c r="E29" s="3">
        <v>27</v>
      </c>
      <c r="F29" s="2">
        <f t="shared" ca="1" si="2"/>
        <v>0.57048832312189801</v>
      </c>
      <c r="G29" s="3">
        <f t="shared" ca="1" si="0"/>
        <v>1</v>
      </c>
      <c r="H29" s="3">
        <f t="shared" ca="1" si="1"/>
        <v>0</v>
      </c>
    </row>
    <row r="30" spans="5:8" x14ac:dyDescent="0.35">
      <c r="E30" s="3">
        <v>28</v>
      </c>
      <c r="F30" s="2">
        <f t="shared" ca="1" si="2"/>
        <v>0.31163861123707293</v>
      </c>
      <c r="G30" s="3">
        <f t="shared" ca="1" si="0"/>
        <v>1</v>
      </c>
      <c r="H30" s="3">
        <f t="shared" ca="1" si="1"/>
        <v>0</v>
      </c>
    </row>
    <row r="31" spans="5:8" x14ac:dyDescent="0.35">
      <c r="E31" s="3">
        <v>29</v>
      </c>
      <c r="F31" s="2">
        <f t="shared" ca="1" si="2"/>
        <v>0.39490873475682287</v>
      </c>
      <c r="G31" s="3">
        <f t="shared" ca="1" si="0"/>
        <v>1</v>
      </c>
      <c r="H31" s="3">
        <f t="shared" ca="1" si="1"/>
        <v>0</v>
      </c>
    </row>
    <row r="32" spans="5:8" x14ac:dyDescent="0.35">
      <c r="E32" s="3">
        <v>30</v>
      </c>
      <c r="F32" s="2">
        <f t="shared" ca="1" si="2"/>
        <v>0.13467435022664509</v>
      </c>
      <c r="G32" s="3">
        <f t="shared" ca="1" si="0"/>
        <v>1</v>
      </c>
      <c r="H32" s="3">
        <f t="shared" ca="1" si="1"/>
        <v>0</v>
      </c>
    </row>
    <row r="33" spans="5:8" x14ac:dyDescent="0.35">
      <c r="E33" s="3">
        <v>31</v>
      </c>
      <c r="F33" s="2">
        <f t="shared" ca="1" si="2"/>
        <v>0.1658076794169131</v>
      </c>
      <c r="G33" s="3">
        <f t="shared" ca="1" si="0"/>
        <v>1</v>
      </c>
      <c r="H33" s="3">
        <f t="shared" ca="1" si="1"/>
        <v>0</v>
      </c>
    </row>
    <row r="34" spans="5:8" x14ac:dyDescent="0.35">
      <c r="E34" s="3">
        <v>32</v>
      </c>
      <c r="F34" s="2">
        <f t="shared" ca="1" si="2"/>
        <v>0.31823169586238753</v>
      </c>
      <c r="G34" s="3">
        <f t="shared" ca="1" si="0"/>
        <v>1</v>
      </c>
      <c r="H34" s="3">
        <f t="shared" ca="1" si="1"/>
        <v>0</v>
      </c>
    </row>
    <row r="35" spans="5:8" x14ac:dyDescent="0.35">
      <c r="E35" s="3">
        <v>33</v>
      </c>
      <c r="F35" s="2">
        <f t="shared" ca="1" si="2"/>
        <v>0.29603175711628504</v>
      </c>
      <c r="G35" s="3">
        <f t="shared" ref="G35:G66" ca="1" si="3">IF(F35&lt;$C$3,1,0)</f>
        <v>1</v>
      </c>
      <c r="H35" s="3">
        <f t="shared" ref="H35:H66" ca="1" si="4">IF(F35&gt;$C$3,1,0)</f>
        <v>0</v>
      </c>
    </row>
    <row r="36" spans="5:8" x14ac:dyDescent="0.35">
      <c r="E36" s="3">
        <v>34</v>
      </c>
      <c r="F36" s="2">
        <f t="shared" ca="1" si="2"/>
        <v>0.59808943272397819</v>
      </c>
      <c r="G36" s="3">
        <f t="shared" ca="1" si="3"/>
        <v>1</v>
      </c>
      <c r="H36" s="3">
        <f t="shared" ca="1" si="4"/>
        <v>0</v>
      </c>
    </row>
    <row r="37" spans="5:8" x14ac:dyDescent="0.35">
      <c r="E37" s="3">
        <v>35</v>
      </c>
      <c r="F37" s="2">
        <f t="shared" ca="1" si="2"/>
        <v>0.19893507663441756</v>
      </c>
      <c r="G37" s="3">
        <f t="shared" ca="1" si="3"/>
        <v>1</v>
      </c>
      <c r="H37" s="3">
        <f t="shared" ca="1" si="4"/>
        <v>0</v>
      </c>
    </row>
    <row r="38" spans="5:8" x14ac:dyDescent="0.35">
      <c r="E38" s="3">
        <v>36</v>
      </c>
      <c r="F38" s="2">
        <f t="shared" ca="1" si="2"/>
        <v>0.25133940853523995</v>
      </c>
      <c r="G38" s="3">
        <f t="shared" ca="1" si="3"/>
        <v>1</v>
      </c>
      <c r="H38" s="3">
        <f t="shared" ca="1" si="4"/>
        <v>0</v>
      </c>
    </row>
    <row r="39" spans="5:8" x14ac:dyDescent="0.35">
      <c r="E39" s="3">
        <v>37</v>
      </c>
      <c r="F39" s="2">
        <f t="shared" ca="1" si="2"/>
        <v>0.99134511408181503</v>
      </c>
      <c r="G39" s="3">
        <f t="shared" ca="1" si="3"/>
        <v>0</v>
      </c>
      <c r="H39" s="3">
        <f t="shared" ca="1" si="4"/>
        <v>1</v>
      </c>
    </row>
    <row r="40" spans="5:8" x14ac:dyDescent="0.35">
      <c r="E40" s="3">
        <v>38</v>
      </c>
      <c r="F40" s="2">
        <f t="shared" ca="1" si="2"/>
        <v>0.33945326456248126</v>
      </c>
      <c r="G40" s="3">
        <f t="shared" ca="1" si="3"/>
        <v>1</v>
      </c>
      <c r="H40" s="3">
        <f t="shared" ca="1" si="4"/>
        <v>0</v>
      </c>
    </row>
    <row r="41" spans="5:8" x14ac:dyDescent="0.35">
      <c r="E41" s="3">
        <v>39</v>
      </c>
      <c r="F41" s="2">
        <f t="shared" ca="1" si="2"/>
        <v>0.82907748768410161</v>
      </c>
      <c r="G41" s="3">
        <f t="shared" ca="1" si="3"/>
        <v>0</v>
      </c>
      <c r="H41" s="3">
        <f t="shared" ca="1" si="4"/>
        <v>1</v>
      </c>
    </row>
    <row r="42" spans="5:8" x14ac:dyDescent="0.35">
      <c r="E42" s="3">
        <v>40</v>
      </c>
      <c r="F42" s="2">
        <f t="shared" ca="1" si="2"/>
        <v>0.84800380630273853</v>
      </c>
      <c r="G42" s="3">
        <f t="shared" ca="1" si="3"/>
        <v>0</v>
      </c>
      <c r="H42" s="3">
        <f t="shared" ca="1" si="4"/>
        <v>1</v>
      </c>
    </row>
    <row r="43" spans="5:8" x14ac:dyDescent="0.35">
      <c r="E43" s="3">
        <v>41</v>
      </c>
      <c r="F43" s="2">
        <f t="shared" ca="1" si="2"/>
        <v>0.64665921992917941</v>
      </c>
      <c r="G43" s="3">
        <f t="shared" ca="1" si="3"/>
        <v>1</v>
      </c>
      <c r="H43" s="3">
        <f t="shared" ca="1" si="4"/>
        <v>0</v>
      </c>
    </row>
    <row r="44" spans="5:8" x14ac:dyDescent="0.35">
      <c r="E44" s="3">
        <v>42</v>
      </c>
      <c r="F44" s="2">
        <f t="shared" ca="1" si="2"/>
        <v>0.56363020847941336</v>
      </c>
      <c r="G44" s="3">
        <f t="shared" ca="1" si="3"/>
        <v>1</v>
      </c>
      <c r="H44" s="3">
        <f t="shared" ca="1" si="4"/>
        <v>0</v>
      </c>
    </row>
    <row r="45" spans="5:8" x14ac:dyDescent="0.35">
      <c r="E45" s="3">
        <v>43</v>
      </c>
      <c r="F45" s="2">
        <f t="shared" ca="1" si="2"/>
        <v>0.77403677789518444</v>
      </c>
      <c r="G45" s="3">
        <f t="shared" ca="1" si="3"/>
        <v>0</v>
      </c>
      <c r="H45" s="3">
        <f t="shared" ca="1" si="4"/>
        <v>1</v>
      </c>
    </row>
    <row r="46" spans="5:8" x14ac:dyDescent="0.35">
      <c r="E46" s="3">
        <v>44</v>
      </c>
      <c r="F46" s="2">
        <f t="shared" ca="1" si="2"/>
        <v>0.6881001916765056</v>
      </c>
      <c r="G46" s="3">
        <f t="shared" ca="1" si="3"/>
        <v>1</v>
      </c>
      <c r="H46" s="3">
        <f t="shared" ca="1" si="4"/>
        <v>0</v>
      </c>
    </row>
    <row r="47" spans="5:8" x14ac:dyDescent="0.35">
      <c r="E47" s="3">
        <v>45</v>
      </c>
      <c r="F47" s="2">
        <f t="shared" ca="1" si="2"/>
        <v>0.80399822802730203</v>
      </c>
      <c r="G47" s="3">
        <f t="shared" ca="1" si="3"/>
        <v>0</v>
      </c>
      <c r="H47" s="3">
        <f t="shared" ca="1" si="4"/>
        <v>1</v>
      </c>
    </row>
    <row r="48" spans="5:8" x14ac:dyDescent="0.35">
      <c r="E48" s="3">
        <v>46</v>
      </c>
      <c r="F48" s="2">
        <f t="shared" ca="1" si="2"/>
        <v>0.65675555511545791</v>
      </c>
      <c r="G48" s="3">
        <f t="shared" ca="1" si="3"/>
        <v>1</v>
      </c>
      <c r="H48" s="3">
        <f t="shared" ca="1" si="4"/>
        <v>0</v>
      </c>
    </row>
    <row r="49" spans="5:8" x14ac:dyDescent="0.35">
      <c r="E49" s="3">
        <v>47</v>
      </c>
      <c r="F49" s="2">
        <f t="shared" ca="1" si="2"/>
        <v>0.16252997738816355</v>
      </c>
      <c r="G49" s="3">
        <f t="shared" ca="1" si="3"/>
        <v>1</v>
      </c>
      <c r="H49" s="3">
        <f t="shared" ca="1" si="4"/>
        <v>0</v>
      </c>
    </row>
    <row r="50" spans="5:8" x14ac:dyDescent="0.35">
      <c r="E50" s="3">
        <v>48</v>
      </c>
      <c r="F50" s="2">
        <f t="shared" ca="1" si="2"/>
        <v>0.95269630732864052</v>
      </c>
      <c r="G50" s="3">
        <f t="shared" ca="1" si="3"/>
        <v>0</v>
      </c>
      <c r="H50" s="3">
        <f t="shared" ca="1" si="4"/>
        <v>1</v>
      </c>
    </row>
    <row r="51" spans="5:8" x14ac:dyDescent="0.35">
      <c r="E51" s="3">
        <v>49</v>
      </c>
      <c r="F51" s="2">
        <f t="shared" ca="1" si="2"/>
        <v>0.78147107137062177</v>
      </c>
      <c r="G51" s="3">
        <f t="shared" ca="1" si="3"/>
        <v>0</v>
      </c>
      <c r="H51" s="3">
        <f t="shared" ca="1" si="4"/>
        <v>1</v>
      </c>
    </row>
    <row r="52" spans="5:8" x14ac:dyDescent="0.35">
      <c r="E52" s="3">
        <v>50</v>
      </c>
      <c r="F52" s="2">
        <f t="shared" ca="1" si="2"/>
        <v>0.7898816178725877</v>
      </c>
      <c r="G52" s="3">
        <f t="shared" ca="1" si="3"/>
        <v>0</v>
      </c>
      <c r="H52" s="3">
        <f t="shared" ca="1" si="4"/>
        <v>1</v>
      </c>
    </row>
    <row r="53" spans="5:8" x14ac:dyDescent="0.35">
      <c r="E53" s="3">
        <v>51</v>
      </c>
      <c r="F53" s="2">
        <f t="shared" ca="1" si="2"/>
        <v>0.91858963207079092</v>
      </c>
      <c r="G53" s="3">
        <f t="shared" ca="1" si="3"/>
        <v>0</v>
      </c>
      <c r="H53" s="3">
        <f t="shared" ca="1" si="4"/>
        <v>1</v>
      </c>
    </row>
    <row r="54" spans="5:8" x14ac:dyDescent="0.35">
      <c r="E54" s="3">
        <v>52</v>
      </c>
      <c r="F54" s="2">
        <f t="shared" ca="1" si="2"/>
        <v>6.4542949935225358E-2</v>
      </c>
      <c r="G54" s="3">
        <f t="shared" ca="1" si="3"/>
        <v>1</v>
      </c>
      <c r="H54" s="3">
        <f t="shared" ca="1" si="4"/>
        <v>0</v>
      </c>
    </row>
    <row r="55" spans="5:8" x14ac:dyDescent="0.35">
      <c r="E55" s="3">
        <v>53</v>
      </c>
      <c r="F55" s="2">
        <f t="shared" ca="1" si="2"/>
        <v>0.46611295772438477</v>
      </c>
      <c r="G55" s="3">
        <f t="shared" ca="1" si="3"/>
        <v>1</v>
      </c>
      <c r="H55" s="3">
        <f t="shared" ca="1" si="4"/>
        <v>0</v>
      </c>
    </row>
    <row r="56" spans="5:8" x14ac:dyDescent="0.35">
      <c r="E56" s="3">
        <v>54</v>
      </c>
      <c r="F56" s="2">
        <f t="shared" ca="1" si="2"/>
        <v>0.483545578521</v>
      </c>
      <c r="G56" s="3">
        <f t="shared" ca="1" si="3"/>
        <v>1</v>
      </c>
      <c r="H56" s="3">
        <f t="shared" ca="1" si="4"/>
        <v>0</v>
      </c>
    </row>
    <row r="57" spans="5:8" x14ac:dyDescent="0.35">
      <c r="E57" s="3">
        <v>55</v>
      </c>
      <c r="F57" s="2">
        <f t="shared" ca="1" si="2"/>
        <v>0.31032971051072289</v>
      </c>
      <c r="G57" s="3">
        <f t="shared" ca="1" si="3"/>
        <v>1</v>
      </c>
      <c r="H57" s="3">
        <f t="shared" ca="1" si="4"/>
        <v>0</v>
      </c>
    </row>
    <row r="58" spans="5:8" x14ac:dyDescent="0.35">
      <c r="E58" s="3">
        <v>56</v>
      </c>
      <c r="F58" s="2">
        <f t="shared" ca="1" si="2"/>
        <v>0.37742267991965728</v>
      </c>
      <c r="G58" s="3">
        <f t="shared" ca="1" si="3"/>
        <v>1</v>
      </c>
      <c r="H58" s="3">
        <f t="shared" ca="1" si="4"/>
        <v>0</v>
      </c>
    </row>
    <row r="59" spans="5:8" x14ac:dyDescent="0.35">
      <c r="E59" s="3">
        <v>57</v>
      </c>
      <c r="F59" s="2">
        <f t="shared" ca="1" si="2"/>
        <v>0.82053134585459453</v>
      </c>
      <c r="G59" s="3">
        <f t="shared" ca="1" si="3"/>
        <v>0</v>
      </c>
      <c r="H59" s="3">
        <f t="shared" ca="1" si="4"/>
        <v>1</v>
      </c>
    </row>
    <row r="60" spans="5:8" x14ac:dyDescent="0.35">
      <c r="E60" s="3">
        <v>58</v>
      </c>
      <c r="F60" s="2">
        <f t="shared" ca="1" si="2"/>
        <v>0.74862741480154293</v>
      </c>
      <c r="G60" s="3">
        <f t="shared" ca="1" si="3"/>
        <v>0</v>
      </c>
      <c r="H60" s="3">
        <f t="shared" ca="1" si="4"/>
        <v>1</v>
      </c>
    </row>
    <row r="61" spans="5:8" x14ac:dyDescent="0.35">
      <c r="E61" s="3">
        <v>59</v>
      </c>
      <c r="F61" s="2">
        <f t="shared" ca="1" si="2"/>
        <v>0.70010713922753487</v>
      </c>
      <c r="G61" s="3">
        <f t="shared" ca="1" si="3"/>
        <v>0</v>
      </c>
      <c r="H61" s="3">
        <f t="shared" ca="1" si="4"/>
        <v>1</v>
      </c>
    </row>
    <row r="62" spans="5:8" x14ac:dyDescent="0.35">
      <c r="E62" s="3">
        <v>60</v>
      </c>
      <c r="F62" s="2">
        <f t="shared" ca="1" si="2"/>
        <v>0.70481227671503044</v>
      </c>
      <c r="G62" s="3">
        <f t="shared" ca="1" si="3"/>
        <v>0</v>
      </c>
      <c r="H62" s="3">
        <f t="shared" ca="1" si="4"/>
        <v>1</v>
      </c>
    </row>
    <row r="63" spans="5:8" x14ac:dyDescent="0.35">
      <c r="E63" s="3">
        <v>61</v>
      </c>
      <c r="F63" s="2">
        <f t="shared" ca="1" si="2"/>
        <v>0.77183917102088317</v>
      </c>
      <c r="G63" s="3">
        <f t="shared" ca="1" si="3"/>
        <v>0</v>
      </c>
      <c r="H63" s="3">
        <f t="shared" ca="1" si="4"/>
        <v>1</v>
      </c>
    </row>
    <row r="64" spans="5:8" x14ac:dyDescent="0.35">
      <c r="E64" s="3">
        <v>62</v>
      </c>
      <c r="F64" s="2">
        <f t="shared" ca="1" si="2"/>
        <v>5.6184163146335009E-2</v>
      </c>
      <c r="G64" s="3">
        <f t="shared" ca="1" si="3"/>
        <v>1</v>
      </c>
      <c r="H64" s="3">
        <f t="shared" ca="1" si="4"/>
        <v>0</v>
      </c>
    </row>
    <row r="65" spans="5:8" x14ac:dyDescent="0.35">
      <c r="E65" s="3">
        <v>63</v>
      </c>
      <c r="F65" s="2">
        <f t="shared" ca="1" si="2"/>
        <v>0.92636955221627404</v>
      </c>
      <c r="G65" s="3">
        <f t="shared" ca="1" si="3"/>
        <v>0</v>
      </c>
      <c r="H65" s="3">
        <f t="shared" ca="1" si="4"/>
        <v>1</v>
      </c>
    </row>
    <row r="66" spans="5:8" x14ac:dyDescent="0.35">
      <c r="E66" s="3">
        <v>64</v>
      </c>
      <c r="F66" s="2">
        <f t="shared" ca="1" si="2"/>
        <v>9.7618906920381665E-2</v>
      </c>
      <c r="G66" s="3">
        <f t="shared" ca="1" si="3"/>
        <v>1</v>
      </c>
      <c r="H66" s="3">
        <f t="shared" ca="1" si="4"/>
        <v>0</v>
      </c>
    </row>
    <row r="67" spans="5:8" x14ac:dyDescent="0.35">
      <c r="E67" s="3">
        <v>65</v>
      </c>
      <c r="F67" s="2">
        <f t="shared" ca="1" si="2"/>
        <v>0.5274672799917991</v>
      </c>
      <c r="G67" s="3">
        <f t="shared" ref="G67:G98" ca="1" si="5">IF(F67&lt;$C$3,1,0)</f>
        <v>1</v>
      </c>
      <c r="H67" s="3">
        <f t="shared" ref="H67:H102" ca="1" si="6">IF(F67&gt;$C$3,1,0)</f>
        <v>0</v>
      </c>
    </row>
    <row r="68" spans="5:8" x14ac:dyDescent="0.35">
      <c r="E68" s="3">
        <v>66</v>
      </c>
      <c r="F68" s="2">
        <f t="shared" ref="F68:F102" ca="1" si="7">RAND()</f>
        <v>0.86433673481207918</v>
      </c>
      <c r="G68" s="3">
        <f t="shared" ca="1" si="5"/>
        <v>0</v>
      </c>
      <c r="H68" s="3">
        <f t="shared" ca="1" si="6"/>
        <v>1</v>
      </c>
    </row>
    <row r="69" spans="5:8" x14ac:dyDescent="0.35">
      <c r="E69" s="3">
        <v>67</v>
      </c>
      <c r="F69" s="2">
        <f t="shared" ca="1" si="7"/>
        <v>0.64353933465064195</v>
      </c>
      <c r="G69" s="3">
        <f t="shared" ca="1" si="5"/>
        <v>1</v>
      </c>
      <c r="H69" s="3">
        <f t="shared" ca="1" si="6"/>
        <v>0</v>
      </c>
    </row>
    <row r="70" spans="5:8" x14ac:dyDescent="0.35">
      <c r="E70" s="3">
        <v>68</v>
      </c>
      <c r="F70" s="2">
        <f t="shared" ca="1" si="7"/>
        <v>0.59636382332826221</v>
      </c>
      <c r="G70" s="3">
        <f t="shared" ca="1" si="5"/>
        <v>1</v>
      </c>
      <c r="H70" s="3">
        <f t="shared" ca="1" si="6"/>
        <v>0</v>
      </c>
    </row>
    <row r="71" spans="5:8" x14ac:dyDescent="0.35">
      <c r="E71" s="3">
        <v>69</v>
      </c>
      <c r="F71" s="2">
        <f t="shared" ca="1" si="7"/>
        <v>0.50577741544012389</v>
      </c>
      <c r="G71" s="3">
        <f t="shared" ca="1" si="5"/>
        <v>1</v>
      </c>
      <c r="H71" s="3">
        <f t="shared" ca="1" si="6"/>
        <v>0</v>
      </c>
    </row>
    <row r="72" spans="5:8" x14ac:dyDescent="0.35">
      <c r="E72" s="3">
        <v>70</v>
      </c>
      <c r="F72" s="2">
        <f t="shared" ca="1" si="7"/>
        <v>0.96629595533749391</v>
      </c>
      <c r="G72" s="3">
        <f t="shared" ca="1" si="5"/>
        <v>0</v>
      </c>
      <c r="H72" s="3">
        <f t="shared" ca="1" si="6"/>
        <v>1</v>
      </c>
    </row>
    <row r="73" spans="5:8" x14ac:dyDescent="0.35">
      <c r="E73" s="3">
        <v>71</v>
      </c>
      <c r="F73" s="2">
        <f t="shared" ca="1" si="7"/>
        <v>0.51021097458010822</v>
      </c>
      <c r="G73" s="3">
        <f t="shared" ca="1" si="5"/>
        <v>1</v>
      </c>
      <c r="H73" s="3">
        <f t="shared" ca="1" si="6"/>
        <v>0</v>
      </c>
    </row>
    <row r="74" spans="5:8" x14ac:dyDescent="0.35">
      <c r="E74" s="3">
        <v>72</v>
      </c>
      <c r="F74" s="2">
        <f t="shared" ca="1" si="7"/>
        <v>0.47929717145797412</v>
      </c>
      <c r="G74" s="3">
        <f t="shared" ca="1" si="5"/>
        <v>1</v>
      </c>
      <c r="H74" s="3">
        <f t="shared" ca="1" si="6"/>
        <v>0</v>
      </c>
    </row>
    <row r="75" spans="5:8" x14ac:dyDescent="0.35">
      <c r="E75" s="3">
        <v>73</v>
      </c>
      <c r="F75" s="2">
        <f t="shared" ca="1" si="7"/>
        <v>0.97968063738371269</v>
      </c>
      <c r="G75" s="3">
        <f t="shared" ca="1" si="5"/>
        <v>0</v>
      </c>
      <c r="H75" s="3">
        <f t="shared" ca="1" si="6"/>
        <v>1</v>
      </c>
    </row>
    <row r="76" spans="5:8" x14ac:dyDescent="0.35">
      <c r="E76" s="3">
        <v>74</v>
      </c>
      <c r="F76" s="2">
        <f t="shared" ca="1" si="7"/>
        <v>0.7230397640465015</v>
      </c>
      <c r="G76" s="3">
        <f t="shared" ca="1" si="5"/>
        <v>0</v>
      </c>
      <c r="H76" s="3">
        <f t="shared" ca="1" si="6"/>
        <v>1</v>
      </c>
    </row>
    <row r="77" spans="5:8" x14ac:dyDescent="0.35">
      <c r="E77" s="3">
        <v>75</v>
      </c>
      <c r="F77" s="2">
        <f t="shared" ca="1" si="7"/>
        <v>0.80164374289755669</v>
      </c>
      <c r="G77" s="3">
        <f t="shared" ca="1" si="5"/>
        <v>0</v>
      </c>
      <c r="H77" s="3">
        <f t="shared" ca="1" si="6"/>
        <v>1</v>
      </c>
    </row>
    <row r="78" spans="5:8" x14ac:dyDescent="0.35">
      <c r="E78" s="3">
        <v>76</v>
      </c>
      <c r="F78" s="2">
        <f t="shared" ca="1" si="7"/>
        <v>0.29245439388173378</v>
      </c>
      <c r="G78" s="3">
        <f t="shared" ca="1" si="5"/>
        <v>1</v>
      </c>
      <c r="H78" s="3">
        <f t="shared" ca="1" si="6"/>
        <v>0</v>
      </c>
    </row>
    <row r="79" spans="5:8" x14ac:dyDescent="0.35">
      <c r="E79" s="3">
        <v>77</v>
      </c>
      <c r="F79" s="2">
        <f t="shared" ca="1" si="7"/>
        <v>0.44469242583602075</v>
      </c>
      <c r="G79" s="3">
        <f t="shared" ca="1" si="5"/>
        <v>1</v>
      </c>
      <c r="H79" s="3">
        <f t="shared" ca="1" si="6"/>
        <v>0</v>
      </c>
    </row>
    <row r="80" spans="5:8" x14ac:dyDescent="0.35">
      <c r="E80" s="3">
        <v>78</v>
      </c>
      <c r="F80" s="2">
        <f t="shared" ca="1" si="7"/>
        <v>6.2245956976757499E-2</v>
      </c>
      <c r="G80" s="3">
        <f t="shared" ca="1" si="5"/>
        <v>1</v>
      </c>
      <c r="H80" s="3">
        <f t="shared" ca="1" si="6"/>
        <v>0</v>
      </c>
    </row>
    <row r="81" spans="5:8" x14ac:dyDescent="0.35">
      <c r="E81" s="3">
        <v>79</v>
      </c>
      <c r="F81" s="2">
        <f t="shared" ca="1" si="7"/>
        <v>0.63130358183170598</v>
      </c>
      <c r="G81" s="3">
        <f t="shared" ca="1" si="5"/>
        <v>1</v>
      </c>
      <c r="H81" s="3">
        <f t="shared" ca="1" si="6"/>
        <v>0</v>
      </c>
    </row>
    <row r="82" spans="5:8" x14ac:dyDescent="0.35">
      <c r="E82" s="3">
        <v>80</v>
      </c>
      <c r="F82" s="2">
        <f t="shared" ca="1" si="7"/>
        <v>0.40627786978369163</v>
      </c>
      <c r="G82" s="3">
        <f t="shared" ca="1" si="5"/>
        <v>1</v>
      </c>
      <c r="H82" s="3">
        <f t="shared" ca="1" si="6"/>
        <v>0</v>
      </c>
    </row>
    <row r="83" spans="5:8" x14ac:dyDescent="0.35">
      <c r="E83" s="3">
        <v>81</v>
      </c>
      <c r="F83" s="2">
        <f t="shared" ca="1" si="7"/>
        <v>0.18039542123299801</v>
      </c>
      <c r="G83" s="3">
        <f t="shared" ca="1" si="5"/>
        <v>1</v>
      </c>
      <c r="H83" s="3">
        <f t="shared" ca="1" si="6"/>
        <v>0</v>
      </c>
    </row>
    <row r="84" spans="5:8" x14ac:dyDescent="0.35">
      <c r="E84" s="3">
        <v>82</v>
      </c>
      <c r="F84" s="2">
        <f t="shared" ca="1" si="7"/>
        <v>4.0837799121624885E-2</v>
      </c>
      <c r="G84" s="3">
        <f t="shared" ca="1" si="5"/>
        <v>1</v>
      </c>
      <c r="H84" s="3">
        <f t="shared" ca="1" si="6"/>
        <v>0</v>
      </c>
    </row>
    <row r="85" spans="5:8" x14ac:dyDescent="0.35">
      <c r="E85" s="3">
        <v>83</v>
      </c>
      <c r="F85" s="2">
        <f t="shared" ca="1" si="7"/>
        <v>0.92076156099020146</v>
      </c>
      <c r="G85" s="3">
        <f t="shared" ca="1" si="5"/>
        <v>0</v>
      </c>
      <c r="H85" s="3">
        <f t="shared" ca="1" si="6"/>
        <v>1</v>
      </c>
    </row>
    <row r="86" spans="5:8" x14ac:dyDescent="0.35">
      <c r="E86" s="3">
        <v>84</v>
      </c>
      <c r="F86" s="2">
        <f t="shared" ca="1" si="7"/>
        <v>0.4045439824265139</v>
      </c>
      <c r="G86" s="3">
        <f t="shared" ca="1" si="5"/>
        <v>1</v>
      </c>
      <c r="H86" s="3">
        <f t="shared" ca="1" si="6"/>
        <v>0</v>
      </c>
    </row>
    <row r="87" spans="5:8" x14ac:dyDescent="0.35">
      <c r="E87" s="3">
        <v>85</v>
      </c>
      <c r="F87" s="2">
        <f t="shared" ca="1" si="7"/>
        <v>0.40735844713923997</v>
      </c>
      <c r="G87" s="3">
        <f t="shared" ca="1" si="5"/>
        <v>1</v>
      </c>
      <c r="H87" s="3">
        <f t="shared" ca="1" si="6"/>
        <v>0</v>
      </c>
    </row>
    <row r="88" spans="5:8" x14ac:dyDescent="0.35">
      <c r="E88" s="3">
        <v>86</v>
      </c>
      <c r="F88" s="2">
        <f t="shared" ca="1" si="7"/>
        <v>0.3381063241632476</v>
      </c>
      <c r="G88" s="3">
        <f t="shared" ca="1" si="5"/>
        <v>1</v>
      </c>
      <c r="H88" s="3">
        <f t="shared" ca="1" si="6"/>
        <v>0</v>
      </c>
    </row>
    <row r="89" spans="5:8" x14ac:dyDescent="0.35">
      <c r="E89" s="3">
        <v>87</v>
      </c>
      <c r="F89" s="2">
        <f t="shared" ca="1" si="7"/>
        <v>0.30935779415712739</v>
      </c>
      <c r="G89" s="3">
        <f t="shared" ca="1" si="5"/>
        <v>1</v>
      </c>
      <c r="H89" s="3">
        <f t="shared" ca="1" si="6"/>
        <v>0</v>
      </c>
    </row>
    <row r="90" spans="5:8" x14ac:dyDescent="0.35">
      <c r="E90" s="3">
        <v>88</v>
      </c>
      <c r="F90" s="2">
        <f t="shared" ca="1" si="7"/>
        <v>0.42987665305012768</v>
      </c>
      <c r="G90" s="3">
        <f t="shared" ca="1" si="5"/>
        <v>1</v>
      </c>
      <c r="H90" s="3">
        <f t="shared" ca="1" si="6"/>
        <v>0</v>
      </c>
    </row>
    <row r="91" spans="5:8" x14ac:dyDescent="0.35">
      <c r="E91" s="3">
        <v>89</v>
      </c>
      <c r="F91" s="2">
        <f t="shared" ca="1" si="7"/>
        <v>0.79770529908434096</v>
      </c>
      <c r="G91" s="3">
        <f t="shared" ca="1" si="5"/>
        <v>0</v>
      </c>
      <c r="H91" s="3">
        <f t="shared" ca="1" si="6"/>
        <v>1</v>
      </c>
    </row>
    <row r="92" spans="5:8" x14ac:dyDescent="0.35">
      <c r="E92" s="3">
        <v>90</v>
      </c>
      <c r="F92" s="2">
        <f t="shared" ca="1" si="7"/>
        <v>0.82413622920727436</v>
      </c>
      <c r="G92" s="3">
        <f t="shared" ca="1" si="5"/>
        <v>0</v>
      </c>
      <c r="H92" s="3">
        <f t="shared" ca="1" si="6"/>
        <v>1</v>
      </c>
    </row>
    <row r="93" spans="5:8" x14ac:dyDescent="0.35">
      <c r="E93" s="3">
        <v>91</v>
      </c>
      <c r="F93" s="2">
        <f t="shared" ca="1" si="7"/>
        <v>0.26955077250203119</v>
      </c>
      <c r="G93" s="3">
        <f t="shared" ca="1" si="5"/>
        <v>1</v>
      </c>
      <c r="H93" s="3">
        <f t="shared" ca="1" si="6"/>
        <v>0</v>
      </c>
    </row>
    <row r="94" spans="5:8" x14ac:dyDescent="0.35">
      <c r="E94" s="3">
        <v>92</v>
      </c>
      <c r="F94" s="2">
        <f t="shared" ca="1" si="7"/>
        <v>0.33014548706591373</v>
      </c>
      <c r="G94" s="3">
        <f t="shared" ca="1" si="5"/>
        <v>1</v>
      </c>
      <c r="H94" s="3">
        <f t="shared" ca="1" si="6"/>
        <v>0</v>
      </c>
    </row>
    <row r="95" spans="5:8" x14ac:dyDescent="0.35">
      <c r="E95" s="3">
        <v>93</v>
      </c>
      <c r="F95" s="2">
        <f t="shared" ca="1" si="7"/>
        <v>0.28599984124649258</v>
      </c>
      <c r="G95" s="3">
        <f t="shared" ca="1" si="5"/>
        <v>1</v>
      </c>
      <c r="H95" s="3">
        <f t="shared" ca="1" si="6"/>
        <v>0</v>
      </c>
    </row>
    <row r="96" spans="5:8" x14ac:dyDescent="0.35">
      <c r="E96" s="3">
        <v>94</v>
      </c>
      <c r="F96" s="2">
        <f t="shared" ca="1" si="7"/>
        <v>0.85905161664051832</v>
      </c>
      <c r="G96" s="3">
        <f t="shared" ca="1" si="5"/>
        <v>0</v>
      </c>
      <c r="H96" s="3">
        <f t="shared" ca="1" si="6"/>
        <v>1</v>
      </c>
    </row>
    <row r="97" spans="5:8" x14ac:dyDescent="0.35">
      <c r="E97" s="3">
        <v>95</v>
      </c>
      <c r="F97" s="2">
        <f t="shared" ca="1" si="7"/>
        <v>0.38735333923773796</v>
      </c>
      <c r="G97" s="3">
        <f t="shared" ca="1" si="5"/>
        <v>1</v>
      </c>
      <c r="H97" s="3">
        <f t="shared" ca="1" si="6"/>
        <v>0</v>
      </c>
    </row>
    <row r="98" spans="5:8" x14ac:dyDescent="0.35">
      <c r="E98" s="3">
        <v>96</v>
      </c>
      <c r="F98" s="2">
        <f t="shared" ca="1" si="7"/>
        <v>0.16196050203434798</v>
      </c>
      <c r="G98" s="3">
        <f t="shared" ca="1" si="5"/>
        <v>1</v>
      </c>
      <c r="H98" s="3">
        <f t="shared" ca="1" si="6"/>
        <v>0</v>
      </c>
    </row>
    <row r="99" spans="5:8" x14ac:dyDescent="0.35">
      <c r="E99" s="3">
        <v>97</v>
      </c>
      <c r="F99" s="2">
        <f t="shared" ca="1" si="7"/>
        <v>0.63963978677755773</v>
      </c>
      <c r="G99" s="3">
        <f t="shared" ref="G99:G102" ca="1" si="8">IF(F99&lt;$C$3,1,0)</f>
        <v>1</v>
      </c>
      <c r="H99" s="3">
        <f t="shared" ca="1" si="6"/>
        <v>0</v>
      </c>
    </row>
    <row r="100" spans="5:8" x14ac:dyDescent="0.35">
      <c r="E100" s="3">
        <v>98</v>
      </c>
      <c r="F100" s="2">
        <f t="shared" ca="1" si="7"/>
        <v>0.62813477361285242</v>
      </c>
      <c r="G100" s="3">
        <f t="shared" ca="1" si="8"/>
        <v>1</v>
      </c>
      <c r="H100" s="3">
        <f t="shared" ca="1" si="6"/>
        <v>0</v>
      </c>
    </row>
    <row r="101" spans="5:8" x14ac:dyDescent="0.35">
      <c r="E101" s="3">
        <v>99</v>
      </c>
      <c r="F101" s="2">
        <f t="shared" ca="1" si="7"/>
        <v>0.65262145637160973</v>
      </c>
      <c r="G101" s="3">
        <f t="shared" ca="1" si="8"/>
        <v>1</v>
      </c>
      <c r="H101" s="3">
        <f t="shared" ca="1" si="6"/>
        <v>0</v>
      </c>
    </row>
    <row r="102" spans="5:8" x14ac:dyDescent="0.35">
      <c r="E102" s="3">
        <v>100</v>
      </c>
      <c r="F102" s="2">
        <f t="shared" ca="1" si="7"/>
        <v>0.22790035129647079</v>
      </c>
      <c r="G102" s="3">
        <f t="shared" ca="1" si="8"/>
        <v>1</v>
      </c>
      <c r="H102" s="3">
        <f t="shared" ca="1" si="6"/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ED5DF-4BD2-42D1-BE2E-7D7FF3079D4E}">
  <dimension ref="B2:H102"/>
  <sheetViews>
    <sheetView zoomScale="70" zoomScaleNormal="70" workbookViewId="0">
      <selection activeCell="W16" sqref="W16"/>
    </sheetView>
  </sheetViews>
  <sheetFormatPr defaultRowHeight="14.5" x14ac:dyDescent="0.35"/>
  <cols>
    <col min="1" max="1" width="3.36328125" style="1" customWidth="1"/>
    <col min="2" max="2" width="14.90625" style="1" bestFit="1" customWidth="1"/>
    <col min="3" max="3" width="8.7265625" style="1"/>
    <col min="4" max="4" width="8.7265625" style="1" customWidth="1"/>
    <col min="5" max="5" width="12" style="3" customWidth="1"/>
    <col min="6" max="6" width="12" style="7" customWidth="1"/>
    <col min="7" max="16384" width="8.7265625" style="1"/>
  </cols>
  <sheetData>
    <row r="2" spans="2:8" x14ac:dyDescent="0.35">
      <c r="B2" s="5" t="s">
        <v>9</v>
      </c>
      <c r="C2" s="5" t="s">
        <v>10</v>
      </c>
      <c r="E2" s="6" t="s">
        <v>8</v>
      </c>
      <c r="F2" s="8" t="s">
        <v>20</v>
      </c>
      <c r="H2" s="1" t="str">
        <f>"Binomial Dist - n = "&amp;C4&amp;", p = "&amp;C3</f>
        <v>Binomial Dist - n = 400, p = 0.1</v>
      </c>
    </row>
    <row r="3" spans="2:8" x14ac:dyDescent="0.35">
      <c r="B3" s="1" t="s">
        <v>16</v>
      </c>
      <c r="C3" s="4">
        <v>0.1</v>
      </c>
      <c r="E3" s="3">
        <v>1</v>
      </c>
      <c r="F3" s="7">
        <f>_xlfn.BINOM.DIST(E3,C$4,C$3,FALSE)</f>
        <v>2.2121840546393112E-17</v>
      </c>
    </row>
    <row r="4" spans="2:8" x14ac:dyDescent="0.35">
      <c r="B4" s="1" t="s">
        <v>17</v>
      </c>
      <c r="C4" s="4">
        <v>400</v>
      </c>
      <c r="E4" s="3">
        <v>2</v>
      </c>
      <c r="F4" s="7">
        <f t="shared" ref="F4:F67" si="0">_xlfn.BINOM.DIST(E4,C$4,C$3,FALSE)</f>
        <v>4.9036746544505203E-16</v>
      </c>
    </row>
    <row r="5" spans="2:8" x14ac:dyDescent="0.35">
      <c r="E5" s="3">
        <v>3</v>
      </c>
      <c r="F5" s="7">
        <f t="shared" si="0"/>
        <v>7.2283796758196472E-15</v>
      </c>
    </row>
    <row r="6" spans="2:8" x14ac:dyDescent="0.35">
      <c r="E6" s="3">
        <v>4</v>
      </c>
      <c r="F6" s="7">
        <f t="shared" si="0"/>
        <v>7.9712964758344463E-14</v>
      </c>
    </row>
    <row r="7" spans="2:8" x14ac:dyDescent="0.35">
      <c r="E7" s="3">
        <v>5</v>
      </c>
      <c r="F7" s="7">
        <f t="shared" si="0"/>
        <v>7.0147408987343016E-13</v>
      </c>
    </row>
    <row r="8" spans="2:8" x14ac:dyDescent="0.35">
      <c r="E8" s="3">
        <v>6</v>
      </c>
      <c r="F8" s="7">
        <f t="shared" si="0"/>
        <v>5.1311530648149075E-12</v>
      </c>
    </row>
    <row r="9" spans="2:8" x14ac:dyDescent="0.35">
      <c r="E9" s="3">
        <v>7</v>
      </c>
      <c r="F9" s="7">
        <f t="shared" si="0"/>
        <v>3.2090068373604308E-11</v>
      </c>
    </row>
    <row r="10" spans="2:8" x14ac:dyDescent="0.35">
      <c r="E10" s="3">
        <v>8</v>
      </c>
      <c r="F10" s="7">
        <f t="shared" si="0"/>
        <v>1.7515828987259141E-10</v>
      </c>
    </row>
    <row r="11" spans="2:8" x14ac:dyDescent="0.35">
      <c r="E11" s="3">
        <v>9</v>
      </c>
      <c r="F11" s="7">
        <f t="shared" si="0"/>
        <v>8.4767962506240819E-10</v>
      </c>
    </row>
    <row r="12" spans="2:8" x14ac:dyDescent="0.35">
      <c r="E12" s="3">
        <v>10</v>
      </c>
      <c r="F12" s="7">
        <f t="shared" si="0"/>
        <v>3.6826970377711554E-9</v>
      </c>
    </row>
    <row r="13" spans="2:8" x14ac:dyDescent="0.35">
      <c r="E13" s="3">
        <v>11</v>
      </c>
      <c r="F13" s="7">
        <f t="shared" si="0"/>
        <v>1.4507594391219628E-8</v>
      </c>
    </row>
    <row r="14" spans="2:8" x14ac:dyDescent="0.35">
      <c r="E14" s="3">
        <v>12</v>
      </c>
      <c r="F14" s="7">
        <f t="shared" si="0"/>
        <v>5.2254205723930249E-8</v>
      </c>
    </row>
    <row r="15" spans="2:8" x14ac:dyDescent="0.35">
      <c r="E15" s="3">
        <v>13</v>
      </c>
      <c r="F15" s="7">
        <f t="shared" si="0"/>
        <v>1.7328745146055471E-7</v>
      </c>
    </row>
    <row r="16" spans="2:8" x14ac:dyDescent="0.35">
      <c r="E16" s="3">
        <v>14</v>
      </c>
      <c r="F16" s="7">
        <f t="shared" si="0"/>
        <v>5.3224002948598982E-7</v>
      </c>
    </row>
    <row r="17" spans="5:6" x14ac:dyDescent="0.35">
      <c r="E17" s="3">
        <v>15</v>
      </c>
      <c r="F17" s="7">
        <f t="shared" si="0"/>
        <v>1.5218122324562383E-6</v>
      </c>
    </row>
    <row r="18" spans="5:6" x14ac:dyDescent="0.35">
      <c r="E18" s="3">
        <v>16</v>
      </c>
      <c r="F18" s="7">
        <f t="shared" si="0"/>
        <v>4.0687340937198065E-6</v>
      </c>
    </row>
    <row r="19" spans="5:6" x14ac:dyDescent="0.35">
      <c r="E19" s="3">
        <v>17</v>
      </c>
      <c r="F19" s="7">
        <f t="shared" si="0"/>
        <v>1.0211724784237938E-5</v>
      </c>
    </row>
    <row r="20" spans="5:6" x14ac:dyDescent="0.35">
      <c r="E20" s="3">
        <v>18</v>
      </c>
      <c r="F20" s="7">
        <f t="shared" si="0"/>
        <v>2.4142534520760035E-5</v>
      </c>
    </row>
    <row r="21" spans="5:6" x14ac:dyDescent="0.35">
      <c r="E21" s="3">
        <v>19</v>
      </c>
      <c r="F21" s="7">
        <f t="shared" si="0"/>
        <v>5.3932445537604407E-5</v>
      </c>
    </row>
    <row r="22" spans="5:6" x14ac:dyDescent="0.35">
      <c r="E22" s="3">
        <v>20</v>
      </c>
      <c r="F22" s="7">
        <f t="shared" si="0"/>
        <v>1.1415700972126225E-4</v>
      </c>
    </row>
    <row r="23" spans="5:6" x14ac:dyDescent="0.35">
      <c r="E23" s="3">
        <v>21</v>
      </c>
      <c r="F23" s="7">
        <f t="shared" si="0"/>
        <v>2.2952203012740555E-4</v>
      </c>
    </row>
    <row r="24" spans="5:6" x14ac:dyDescent="0.35">
      <c r="E24" s="3">
        <v>22</v>
      </c>
      <c r="F24" s="7">
        <f t="shared" si="0"/>
        <v>4.3933762332468027E-4</v>
      </c>
    </row>
    <row r="25" spans="5:6" x14ac:dyDescent="0.35">
      <c r="E25" s="3">
        <v>23</v>
      </c>
      <c r="F25" s="7">
        <f t="shared" si="0"/>
        <v>8.0226870346246219E-4</v>
      </c>
    </row>
    <row r="26" spans="5:6" x14ac:dyDescent="0.35">
      <c r="E26" s="3">
        <v>24</v>
      </c>
      <c r="F26" s="7">
        <f t="shared" si="0"/>
        <v>1.4002560240988318E-3</v>
      </c>
    </row>
    <row r="27" spans="5:6" x14ac:dyDescent="0.35">
      <c r="E27" s="3">
        <v>25</v>
      </c>
      <c r="F27" s="7">
        <f t="shared" si="0"/>
        <v>2.3399834002718299E-3</v>
      </c>
    </row>
    <row r="28" spans="5:6" x14ac:dyDescent="0.35">
      <c r="E28" s="3">
        <v>26</v>
      </c>
      <c r="F28" s="7">
        <f t="shared" si="0"/>
        <v>3.7499733978715124E-3</v>
      </c>
    </row>
    <row r="29" spans="5:6" x14ac:dyDescent="0.35">
      <c r="E29" s="3">
        <v>27</v>
      </c>
      <c r="F29" s="7">
        <f t="shared" si="0"/>
        <v>5.7715639950779692E-3</v>
      </c>
    </row>
    <row r="30" spans="5:6" x14ac:dyDescent="0.35">
      <c r="E30" s="3">
        <v>28</v>
      </c>
      <c r="F30" s="7">
        <f t="shared" si="0"/>
        <v>8.5428308339844643E-3</v>
      </c>
    </row>
    <row r="31" spans="5:6" x14ac:dyDescent="0.35">
      <c r="E31" s="3">
        <v>29</v>
      </c>
      <c r="F31" s="7">
        <f t="shared" si="0"/>
        <v>1.2175988774874412E-2</v>
      </c>
    </row>
    <row r="32" spans="5:6" x14ac:dyDescent="0.35">
      <c r="E32" s="3">
        <v>30</v>
      </c>
      <c r="F32" s="7">
        <f t="shared" si="0"/>
        <v>1.6730710501771877E-2</v>
      </c>
    </row>
    <row r="33" spans="5:6" x14ac:dyDescent="0.35">
      <c r="E33" s="3">
        <v>31</v>
      </c>
      <c r="F33" s="7">
        <f t="shared" si="0"/>
        <v>2.2187680593747611E-2</v>
      </c>
    </row>
    <row r="34" spans="5:6" x14ac:dyDescent="0.35">
      <c r="E34" s="3">
        <v>32</v>
      </c>
      <c r="F34" s="7">
        <f t="shared" si="0"/>
        <v>2.8427965760739166E-2</v>
      </c>
    </row>
    <row r="35" spans="5:6" x14ac:dyDescent="0.35">
      <c r="E35" s="3">
        <v>33</v>
      </c>
      <c r="F35" s="7">
        <f t="shared" si="0"/>
        <v>3.5223876767515178E-2</v>
      </c>
    </row>
    <row r="36" spans="5:6" x14ac:dyDescent="0.35">
      <c r="E36" s="3">
        <v>34</v>
      </c>
      <c r="F36" s="7">
        <f t="shared" si="0"/>
        <v>4.2245629979340088E-2</v>
      </c>
    </row>
    <row r="37" spans="5:6" x14ac:dyDescent="0.35">
      <c r="E37" s="3">
        <v>35</v>
      </c>
      <c r="F37" s="7">
        <f t="shared" si="0"/>
        <v>4.908539864266187E-2</v>
      </c>
    </row>
    <row r="38" spans="5:6" x14ac:dyDescent="0.35">
      <c r="E38" s="3">
        <v>36</v>
      </c>
      <c r="F38" s="7">
        <f t="shared" si="0"/>
        <v>5.5296822544973992E-2</v>
      </c>
    </row>
    <row r="39" spans="5:6" x14ac:dyDescent="0.35">
      <c r="E39" s="3">
        <v>37</v>
      </c>
      <c r="F39" s="7">
        <f t="shared" si="0"/>
        <v>6.0444574793905533E-2</v>
      </c>
    </row>
    <row r="40" spans="5:6" x14ac:dyDescent="0.35">
      <c r="E40" s="3">
        <v>38</v>
      </c>
      <c r="F40" s="7">
        <f t="shared" si="0"/>
        <v>6.4156083772478625E-2</v>
      </c>
    </row>
    <row r="41" spans="5:6" x14ac:dyDescent="0.35">
      <c r="E41" s="3">
        <v>39</v>
      </c>
      <c r="F41" s="7">
        <f t="shared" si="0"/>
        <v>6.6166673292413894E-2</v>
      </c>
    </row>
    <row r="42" spans="5:6" x14ac:dyDescent="0.35">
      <c r="E42" s="3">
        <v>40</v>
      </c>
      <c r="F42" s="7">
        <f t="shared" si="0"/>
        <v>6.635046960711502E-2</v>
      </c>
    </row>
    <row r="43" spans="5:6" x14ac:dyDescent="0.35">
      <c r="E43" s="3">
        <v>41</v>
      </c>
      <c r="F43" s="7">
        <f t="shared" si="0"/>
        <v>6.4732165470356151E-2</v>
      </c>
    </row>
    <row r="44" spans="5:6" x14ac:dyDescent="0.35">
      <c r="E44" s="3">
        <v>42</v>
      </c>
      <c r="F44" s="7">
        <f t="shared" si="0"/>
        <v>6.1478432285338204E-2</v>
      </c>
    </row>
    <row r="45" spans="5:6" x14ac:dyDescent="0.35">
      <c r="E45" s="3">
        <v>43</v>
      </c>
      <c r="F45" s="7">
        <f t="shared" si="0"/>
        <v>5.6871521338891728E-2</v>
      </c>
    </row>
    <row r="46" spans="5:6" x14ac:dyDescent="0.35">
      <c r="E46" s="3">
        <v>44</v>
      </c>
      <c r="F46" s="7">
        <f t="shared" si="0"/>
        <v>5.1270538176728109E-2</v>
      </c>
    </row>
    <row r="47" spans="5:6" x14ac:dyDescent="0.35">
      <c r="E47" s="3">
        <v>45</v>
      </c>
      <c r="F47" s="7">
        <f t="shared" si="0"/>
        <v>4.5067436026951124E-2</v>
      </c>
    </row>
    <row r="48" spans="5:6" x14ac:dyDescent="0.35">
      <c r="E48" s="3">
        <v>46</v>
      </c>
      <c r="F48" s="7">
        <f t="shared" si="0"/>
        <v>3.8644782100404965E-2</v>
      </c>
    </row>
    <row r="49" spans="5:6" x14ac:dyDescent="0.35">
      <c r="E49" s="3">
        <v>47</v>
      </c>
      <c r="F49" s="7">
        <f t="shared" si="0"/>
        <v>3.2341023318069408E-2</v>
      </c>
    </row>
    <row r="50" spans="5:6" x14ac:dyDescent="0.35">
      <c r="E50" s="3">
        <v>48</v>
      </c>
      <c r="F50" s="7">
        <f t="shared" si="0"/>
        <v>2.642680840573728E-2</v>
      </c>
    </row>
    <row r="51" spans="5:6" x14ac:dyDescent="0.35">
      <c r="E51" s="3">
        <v>49</v>
      </c>
      <c r="F51" s="7">
        <f t="shared" si="0"/>
        <v>2.10935069360987E-2</v>
      </c>
    </row>
    <row r="52" spans="5:6" x14ac:dyDescent="0.35">
      <c r="E52" s="3">
        <v>50</v>
      </c>
      <c r="F52" s="7">
        <f t="shared" si="0"/>
        <v>1.6452935410156955E-2</v>
      </c>
    </row>
    <row r="53" spans="5:6" x14ac:dyDescent="0.35">
      <c r="E53" s="3">
        <v>51</v>
      </c>
      <c r="F53" s="7">
        <f t="shared" si="0"/>
        <v>1.2545811314934503E-2</v>
      </c>
    </row>
    <row r="54" spans="5:6" x14ac:dyDescent="0.35">
      <c r="E54" s="3">
        <v>52</v>
      </c>
      <c r="F54" s="7">
        <f t="shared" si="0"/>
        <v>9.3557439079318926E-3</v>
      </c>
    </row>
    <row r="55" spans="5:6" x14ac:dyDescent="0.35">
      <c r="E55" s="3">
        <v>53</v>
      </c>
      <c r="F55" s="7">
        <f t="shared" si="0"/>
        <v>6.8255741718245668E-3</v>
      </c>
    </row>
    <row r="56" spans="5:6" x14ac:dyDescent="0.35">
      <c r="E56" s="3">
        <v>54</v>
      </c>
      <c r="F56" s="7">
        <f t="shared" si="0"/>
        <v>4.8734037811175284E-3</v>
      </c>
    </row>
    <row r="57" spans="5:6" x14ac:dyDescent="0.35">
      <c r="E57" s="3">
        <v>55</v>
      </c>
      <c r="F57" s="7">
        <f t="shared" si="0"/>
        <v>3.4064600167003425E-3</v>
      </c>
    </row>
    <row r="58" spans="5:6" x14ac:dyDescent="0.35">
      <c r="E58" s="3">
        <v>56</v>
      </c>
      <c r="F58" s="7">
        <f t="shared" si="0"/>
        <v>2.3318029876222544E-3</v>
      </c>
    </row>
    <row r="59" spans="5:6" x14ac:dyDescent="0.35">
      <c r="E59" s="3">
        <v>57</v>
      </c>
      <c r="F59" s="7">
        <f t="shared" si="0"/>
        <v>1.5636261749357807E-3</v>
      </c>
    </row>
    <row r="60" spans="5:6" x14ac:dyDescent="0.35">
      <c r="E60" s="3">
        <v>58</v>
      </c>
      <c r="F60" s="7">
        <f t="shared" si="0"/>
        <v>1.0274401877451587E-3</v>
      </c>
    </row>
    <row r="61" spans="5:6" x14ac:dyDescent="0.35">
      <c r="E61" s="3">
        <v>59</v>
      </c>
      <c r="F61" s="7">
        <f t="shared" si="0"/>
        <v>6.617411378697617E-4</v>
      </c>
    </row>
    <row r="62" spans="5:6" x14ac:dyDescent="0.35">
      <c r="E62" s="3">
        <v>60</v>
      </c>
      <c r="F62" s="7">
        <f t="shared" si="0"/>
        <v>4.1787727409924041E-4</v>
      </c>
    </row>
    <row r="63" spans="5:6" x14ac:dyDescent="0.35">
      <c r="E63" s="3">
        <v>61</v>
      </c>
      <c r="F63" s="7">
        <f t="shared" si="0"/>
        <v>2.5879466884106024E-4</v>
      </c>
    </row>
    <row r="64" spans="5:6" x14ac:dyDescent="0.35">
      <c r="E64" s="3">
        <v>62</v>
      </c>
      <c r="F64" s="7">
        <f t="shared" si="0"/>
        <v>1.5722471816687932E-4</v>
      </c>
    </row>
    <row r="65" spans="5:6" x14ac:dyDescent="0.35">
      <c r="E65" s="3">
        <v>63</v>
      </c>
      <c r="F65" s="7">
        <f t="shared" si="0"/>
        <v>9.3724787901949561E-5</v>
      </c>
    </row>
    <row r="66" spans="5:6" x14ac:dyDescent="0.35">
      <c r="E66" s="3">
        <v>64</v>
      </c>
      <c r="F66" s="7">
        <f t="shared" si="0"/>
        <v>5.4835509588466604E-5</v>
      </c>
    </row>
    <row r="67" spans="5:6" x14ac:dyDescent="0.35">
      <c r="E67" s="3">
        <v>65</v>
      </c>
      <c r="F67" s="7">
        <f t="shared" si="0"/>
        <v>3.1495267045683651E-5</v>
      </c>
    </row>
    <row r="68" spans="5:6" x14ac:dyDescent="0.35">
      <c r="E68" s="3">
        <v>66</v>
      </c>
      <c r="F68" s="7">
        <f t="shared" ref="F68:F102" si="1">_xlfn.BINOM.DIST(E68,C$4,C$3,FALSE)</f>
        <v>1.7762482256404184E-5</v>
      </c>
    </row>
    <row r="69" spans="5:6" x14ac:dyDescent="0.35">
      <c r="E69" s="3">
        <v>67</v>
      </c>
      <c r="F69" s="7">
        <f t="shared" si="1"/>
        <v>9.8385888451723528E-6</v>
      </c>
    </row>
    <row r="70" spans="5:6" x14ac:dyDescent="0.35">
      <c r="E70" s="3">
        <v>68</v>
      </c>
      <c r="F70" s="7">
        <f t="shared" si="1"/>
        <v>5.3533498128143958E-6</v>
      </c>
    </row>
    <row r="71" spans="5:6" x14ac:dyDescent="0.35">
      <c r="E71" s="3">
        <v>69</v>
      </c>
      <c r="F71" s="7">
        <f t="shared" si="1"/>
        <v>2.8620163250472946E-6</v>
      </c>
    </row>
    <row r="72" spans="5:6" x14ac:dyDescent="0.35">
      <c r="E72" s="3">
        <v>70</v>
      </c>
      <c r="F72" s="7">
        <f t="shared" si="1"/>
        <v>1.5036942914137443E-6</v>
      </c>
    </row>
    <row r="73" spans="5:6" x14ac:dyDescent="0.35">
      <c r="E73" s="3">
        <v>71</v>
      </c>
      <c r="F73" s="7">
        <f t="shared" si="1"/>
        <v>7.7655573734982382E-7</v>
      </c>
    </row>
    <row r="74" spans="5:6" x14ac:dyDescent="0.35">
      <c r="E74" s="3">
        <v>72</v>
      </c>
      <c r="F74" s="7">
        <f t="shared" si="1"/>
        <v>3.9426981109273327E-7</v>
      </c>
    </row>
    <row r="75" spans="5:6" x14ac:dyDescent="0.35">
      <c r="E75" s="3">
        <v>73</v>
      </c>
      <c r="F75" s="7">
        <f t="shared" si="1"/>
        <v>1.968348524176807E-7</v>
      </c>
    </row>
    <row r="76" spans="5:6" x14ac:dyDescent="0.35">
      <c r="E76" s="3">
        <v>74</v>
      </c>
      <c r="F76" s="7">
        <f t="shared" si="1"/>
        <v>9.6644139250121434E-8</v>
      </c>
    </row>
    <row r="77" spans="5:6" x14ac:dyDescent="0.35">
      <c r="E77" s="3">
        <v>75</v>
      </c>
      <c r="F77" s="7">
        <f t="shared" si="1"/>
        <v>4.6675539845244612E-8</v>
      </c>
    </row>
    <row r="78" spans="5:6" x14ac:dyDescent="0.35">
      <c r="E78" s="3">
        <v>76</v>
      </c>
      <c r="F78" s="7">
        <f t="shared" si="1"/>
        <v>2.2177705335825413E-8</v>
      </c>
    </row>
    <row r="79" spans="5:6" x14ac:dyDescent="0.35">
      <c r="E79" s="3">
        <v>77</v>
      </c>
      <c r="F79" s="7">
        <f t="shared" si="1"/>
        <v>1.03687972998664E-8</v>
      </c>
    </row>
    <row r="80" spans="5:6" x14ac:dyDescent="0.35">
      <c r="E80" s="3">
        <v>78</v>
      </c>
      <c r="F80" s="7">
        <f t="shared" si="1"/>
        <v>4.7708283872604409E-9</v>
      </c>
    </row>
    <row r="81" spans="5:6" x14ac:dyDescent="0.35">
      <c r="E81" s="3">
        <v>79</v>
      </c>
      <c r="F81" s="7">
        <f t="shared" si="1"/>
        <v>2.1606283272824884E-9</v>
      </c>
    </row>
    <row r="82" spans="5:6" x14ac:dyDescent="0.35">
      <c r="E82" s="3">
        <v>80</v>
      </c>
      <c r="F82" s="7">
        <f t="shared" si="1"/>
        <v>9.632801292467846E-10</v>
      </c>
    </row>
    <row r="83" spans="5:6" x14ac:dyDescent="0.35">
      <c r="E83" s="3">
        <v>81</v>
      </c>
      <c r="F83" s="7">
        <f t="shared" si="1"/>
        <v>4.228390142098406E-10</v>
      </c>
    </row>
    <row r="84" spans="5:6" x14ac:dyDescent="0.35">
      <c r="E84" s="3">
        <v>82</v>
      </c>
      <c r="F84" s="7">
        <f t="shared" si="1"/>
        <v>1.8277187741590527E-10</v>
      </c>
    </row>
    <row r="85" spans="5:6" x14ac:dyDescent="0.35">
      <c r="E85" s="3">
        <v>83</v>
      </c>
      <c r="F85" s="7">
        <f t="shared" si="1"/>
        <v>7.780650203247286E-11</v>
      </c>
    </row>
    <row r="86" spans="5:6" x14ac:dyDescent="0.35">
      <c r="E86" s="3">
        <v>84</v>
      </c>
      <c r="F86" s="7">
        <f t="shared" si="1"/>
        <v>3.2625213153828333E-11</v>
      </c>
    </row>
    <row r="87" spans="5:6" x14ac:dyDescent="0.35">
      <c r="E87" s="3">
        <v>85</v>
      </c>
      <c r="F87" s="7">
        <f t="shared" si="1"/>
        <v>1.3476558636091143E-11</v>
      </c>
    </row>
    <row r="88" spans="5:6" x14ac:dyDescent="0.35">
      <c r="E88" s="3">
        <v>86</v>
      </c>
      <c r="F88" s="7">
        <f t="shared" si="1"/>
        <v>5.4846459565487438E-12</v>
      </c>
    </row>
    <row r="89" spans="5:6" x14ac:dyDescent="0.35">
      <c r="E89" s="3">
        <v>87</v>
      </c>
      <c r="F89" s="7">
        <f t="shared" si="1"/>
        <v>2.1994621077347422E-12</v>
      </c>
    </row>
    <row r="90" spans="5:6" x14ac:dyDescent="0.35">
      <c r="E90" s="3">
        <v>88</v>
      </c>
      <c r="F90" s="7">
        <f t="shared" si="1"/>
        <v>8.692318683345556E-13</v>
      </c>
    </row>
    <row r="91" spans="5:6" x14ac:dyDescent="0.35">
      <c r="E91" s="3">
        <v>89</v>
      </c>
      <c r="F91" s="7">
        <f t="shared" si="1"/>
        <v>3.3857720714154546E-13</v>
      </c>
    </row>
    <row r="92" spans="5:6" x14ac:dyDescent="0.35">
      <c r="E92" s="3">
        <v>90</v>
      </c>
      <c r="F92" s="7">
        <f t="shared" si="1"/>
        <v>1.2999692768027556E-13</v>
      </c>
    </row>
    <row r="93" spans="5:6" x14ac:dyDescent="0.35">
      <c r="E93" s="3">
        <v>91</v>
      </c>
      <c r="F93" s="7">
        <f t="shared" si="1"/>
        <v>4.9205186301447116E-14</v>
      </c>
    </row>
    <row r="94" spans="5:6" x14ac:dyDescent="0.35">
      <c r="E94" s="3">
        <v>92</v>
      </c>
      <c r="F94" s="7">
        <f t="shared" si="1"/>
        <v>1.8362805032786744E-14</v>
      </c>
    </row>
    <row r="95" spans="5:6" x14ac:dyDescent="0.35">
      <c r="E95" s="3">
        <v>93</v>
      </c>
      <c r="F95" s="7">
        <f t="shared" si="1"/>
        <v>6.757161230702749E-15</v>
      </c>
    </row>
    <row r="96" spans="5:6" x14ac:dyDescent="0.35">
      <c r="E96" s="3">
        <v>94</v>
      </c>
      <c r="F96" s="7">
        <f t="shared" si="1"/>
        <v>2.4520667822999242E-15</v>
      </c>
    </row>
    <row r="97" spans="5:6" x14ac:dyDescent="0.35">
      <c r="E97" s="3">
        <v>95</v>
      </c>
      <c r="F97" s="7">
        <f t="shared" si="1"/>
        <v>8.7758179577050394E-16</v>
      </c>
    </row>
    <row r="98" spans="5:6" x14ac:dyDescent="0.35">
      <c r="E98" s="3">
        <v>96</v>
      </c>
      <c r="F98" s="7">
        <f t="shared" si="1"/>
        <v>3.0979449966435702E-16</v>
      </c>
    </row>
    <row r="99" spans="5:6" x14ac:dyDescent="0.35">
      <c r="E99" s="3">
        <v>97</v>
      </c>
      <c r="F99" s="7">
        <f t="shared" si="1"/>
        <v>1.078780388292848E-16</v>
      </c>
    </row>
    <row r="100" spans="5:6" x14ac:dyDescent="0.35">
      <c r="E100" s="3">
        <v>98</v>
      </c>
      <c r="F100" s="7">
        <f t="shared" si="1"/>
        <v>3.7060142591011866E-17</v>
      </c>
    </row>
    <row r="101" spans="5:6" x14ac:dyDescent="0.35">
      <c r="E101" s="3">
        <v>99</v>
      </c>
      <c r="F101" s="7">
        <f t="shared" si="1"/>
        <v>1.2561350238479987E-17</v>
      </c>
    </row>
    <row r="102" spans="5:6" x14ac:dyDescent="0.35">
      <c r="E102" s="3">
        <v>100</v>
      </c>
      <c r="F102" s="7">
        <f t="shared" si="1"/>
        <v>4.2010738019805064E-18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ED9D7-AD89-4F4A-BD4B-081038996590}">
  <dimension ref="B2:H102"/>
  <sheetViews>
    <sheetView zoomScale="70" zoomScaleNormal="70" workbookViewId="0"/>
  </sheetViews>
  <sheetFormatPr defaultRowHeight="14.5" x14ac:dyDescent="0.35"/>
  <cols>
    <col min="1" max="1" width="3.36328125" style="1" customWidth="1"/>
    <col min="2" max="2" width="14.90625" style="1" bestFit="1" customWidth="1"/>
    <col min="3" max="3" width="8.7265625" style="1"/>
    <col min="4" max="4" width="8.7265625" style="1" customWidth="1"/>
    <col min="5" max="5" width="12" style="3" customWidth="1"/>
    <col min="6" max="6" width="12" style="7" customWidth="1"/>
    <col min="7" max="16384" width="8.7265625" style="1"/>
  </cols>
  <sheetData>
    <row r="2" spans="2:8" x14ac:dyDescent="0.35">
      <c r="B2" s="5" t="s">
        <v>9</v>
      </c>
      <c r="C2" s="5" t="s">
        <v>10</v>
      </c>
      <c r="E2" s="6" t="s">
        <v>23</v>
      </c>
      <c r="F2" s="8" t="s">
        <v>20</v>
      </c>
      <c r="H2" s="1" t="str">
        <f>"Poisson Dist - lambda = "&amp;C3</f>
        <v>Poisson Dist - lambda = 5</v>
      </c>
    </row>
    <row r="3" spans="2:8" x14ac:dyDescent="0.35">
      <c r="B3" s="1" t="s">
        <v>15</v>
      </c>
      <c r="C3" s="4">
        <v>5</v>
      </c>
      <c r="E3" s="3">
        <v>1</v>
      </c>
      <c r="F3" s="7">
        <f>_xlfn.POISSON.DIST(E3,C$3,FALSE)</f>
        <v>3.368973499542733E-2</v>
      </c>
    </row>
    <row r="4" spans="2:8" x14ac:dyDescent="0.35">
      <c r="E4" s="3">
        <v>2</v>
      </c>
      <c r="F4" s="7">
        <f t="shared" ref="F4:F67" si="0">_xlfn.POISSON.DIST(E4,C$3,FALSE)</f>
        <v>8.4224337488568335E-2</v>
      </c>
    </row>
    <row r="5" spans="2:8" x14ac:dyDescent="0.35">
      <c r="E5" s="3">
        <v>3</v>
      </c>
      <c r="F5" s="7">
        <f t="shared" si="0"/>
        <v>0.14037389581428059</v>
      </c>
    </row>
    <row r="6" spans="2:8" x14ac:dyDescent="0.35">
      <c r="E6" s="3">
        <v>4</v>
      </c>
      <c r="F6" s="7">
        <f t="shared" si="0"/>
        <v>0.17546736976785074</v>
      </c>
    </row>
    <row r="7" spans="2:8" x14ac:dyDescent="0.35">
      <c r="E7" s="3">
        <v>5</v>
      </c>
      <c r="F7" s="7">
        <f t="shared" si="0"/>
        <v>0.17546736976785071</v>
      </c>
    </row>
    <row r="8" spans="2:8" x14ac:dyDescent="0.35">
      <c r="E8" s="3">
        <v>6</v>
      </c>
      <c r="F8" s="7">
        <f t="shared" si="0"/>
        <v>0.14622280813987559</v>
      </c>
    </row>
    <row r="9" spans="2:8" x14ac:dyDescent="0.35">
      <c r="E9" s="3">
        <v>7</v>
      </c>
      <c r="F9" s="7">
        <f t="shared" si="0"/>
        <v>0.104444862957054</v>
      </c>
    </row>
    <row r="10" spans="2:8" x14ac:dyDescent="0.35">
      <c r="E10" s="3">
        <v>8</v>
      </c>
      <c r="F10" s="7">
        <f t="shared" si="0"/>
        <v>6.5278039348158706E-2</v>
      </c>
    </row>
    <row r="11" spans="2:8" x14ac:dyDescent="0.35">
      <c r="E11" s="3">
        <v>9</v>
      </c>
      <c r="F11" s="7">
        <f t="shared" si="0"/>
        <v>3.6265577415643749E-2</v>
      </c>
    </row>
    <row r="12" spans="2:8" x14ac:dyDescent="0.35">
      <c r="E12" s="3">
        <v>10</v>
      </c>
      <c r="F12" s="7">
        <f t="shared" si="0"/>
        <v>1.8132788707821874E-2</v>
      </c>
    </row>
    <row r="13" spans="2:8" x14ac:dyDescent="0.35">
      <c r="E13" s="3">
        <v>11</v>
      </c>
      <c r="F13" s="7">
        <f t="shared" si="0"/>
        <v>8.2421766853735742E-3</v>
      </c>
    </row>
    <row r="14" spans="2:8" x14ac:dyDescent="0.35">
      <c r="E14" s="3">
        <v>12</v>
      </c>
      <c r="F14" s="7">
        <f t="shared" si="0"/>
        <v>3.4342402855723282E-3</v>
      </c>
    </row>
    <row r="15" spans="2:8" x14ac:dyDescent="0.35">
      <c r="E15" s="3">
        <v>13</v>
      </c>
      <c r="F15" s="7">
        <f t="shared" si="0"/>
        <v>1.3208616482970471E-3</v>
      </c>
    </row>
    <row r="16" spans="2:8" x14ac:dyDescent="0.35">
      <c r="E16" s="3">
        <v>14</v>
      </c>
      <c r="F16" s="7">
        <f t="shared" si="0"/>
        <v>4.7173630296323246E-4</v>
      </c>
    </row>
    <row r="17" spans="5:6" x14ac:dyDescent="0.35">
      <c r="E17" s="3">
        <v>15</v>
      </c>
      <c r="F17" s="7">
        <f t="shared" si="0"/>
        <v>1.5724543432107704E-4</v>
      </c>
    </row>
    <row r="18" spans="5:6" x14ac:dyDescent="0.35">
      <c r="E18" s="3">
        <v>16</v>
      </c>
      <c r="F18" s="7">
        <f t="shared" si="0"/>
        <v>4.9139198225336609E-5</v>
      </c>
    </row>
    <row r="19" spans="5:6" x14ac:dyDescent="0.35">
      <c r="E19" s="3">
        <v>17</v>
      </c>
      <c r="F19" s="7">
        <f t="shared" si="0"/>
        <v>1.4452705360393124E-5</v>
      </c>
    </row>
    <row r="20" spans="5:6" x14ac:dyDescent="0.35">
      <c r="E20" s="3">
        <v>18</v>
      </c>
      <c r="F20" s="7">
        <f t="shared" si="0"/>
        <v>4.0146403778869831E-6</v>
      </c>
    </row>
    <row r="21" spans="5:6" x14ac:dyDescent="0.35">
      <c r="E21" s="3">
        <v>19</v>
      </c>
      <c r="F21" s="7">
        <f t="shared" si="0"/>
        <v>1.0564843099702586E-6</v>
      </c>
    </row>
    <row r="22" spans="5:6" x14ac:dyDescent="0.35">
      <c r="E22" s="3">
        <v>20</v>
      </c>
      <c r="F22" s="7">
        <f t="shared" si="0"/>
        <v>2.6412107749256427E-7</v>
      </c>
    </row>
    <row r="23" spans="5:6" x14ac:dyDescent="0.35">
      <c r="E23" s="3">
        <v>21</v>
      </c>
      <c r="F23" s="7">
        <f t="shared" si="0"/>
        <v>6.2885970831562693E-8</v>
      </c>
    </row>
    <row r="24" spans="5:6" x14ac:dyDescent="0.35">
      <c r="E24" s="3">
        <v>22</v>
      </c>
      <c r="F24" s="7">
        <f t="shared" si="0"/>
        <v>1.4292266098082472E-8</v>
      </c>
    </row>
    <row r="25" spans="5:6" x14ac:dyDescent="0.35">
      <c r="E25" s="3">
        <v>23</v>
      </c>
      <c r="F25" s="7">
        <f t="shared" si="0"/>
        <v>3.1070143691483715E-9</v>
      </c>
    </row>
    <row r="26" spans="5:6" x14ac:dyDescent="0.35">
      <c r="E26" s="3">
        <v>24</v>
      </c>
      <c r="F26" s="7">
        <f t="shared" si="0"/>
        <v>6.4729466023924485E-10</v>
      </c>
    </row>
    <row r="27" spans="5:6" x14ac:dyDescent="0.35">
      <c r="E27" s="3">
        <v>25</v>
      </c>
      <c r="F27" s="7">
        <f t="shared" si="0"/>
        <v>1.2945893204784874E-10</v>
      </c>
    </row>
    <row r="28" spans="5:6" x14ac:dyDescent="0.35">
      <c r="E28" s="3">
        <v>26</v>
      </c>
      <c r="F28" s="7">
        <f t="shared" si="0"/>
        <v>2.4895948470740127E-11</v>
      </c>
    </row>
    <row r="29" spans="5:6" x14ac:dyDescent="0.35">
      <c r="E29" s="3">
        <v>27</v>
      </c>
      <c r="F29" s="7">
        <f t="shared" si="0"/>
        <v>4.6103608279148155E-12</v>
      </c>
    </row>
    <row r="30" spans="5:6" x14ac:dyDescent="0.35">
      <c r="E30" s="3">
        <v>28</v>
      </c>
      <c r="F30" s="7">
        <f t="shared" si="0"/>
        <v>8.2327871927050559E-13</v>
      </c>
    </row>
    <row r="31" spans="5:6" x14ac:dyDescent="0.35">
      <c r="E31" s="3">
        <v>29</v>
      </c>
      <c r="F31" s="7">
        <f t="shared" si="0"/>
        <v>1.419446067707773E-13</v>
      </c>
    </row>
    <row r="32" spans="5:6" x14ac:dyDescent="0.35">
      <c r="E32" s="3">
        <v>30</v>
      </c>
      <c r="F32" s="7">
        <f t="shared" si="0"/>
        <v>2.3657434461796165E-14</v>
      </c>
    </row>
    <row r="33" spans="5:6" x14ac:dyDescent="0.35">
      <c r="E33" s="3">
        <v>31</v>
      </c>
      <c r="F33" s="7">
        <f t="shared" si="0"/>
        <v>3.8157152357735622E-15</v>
      </c>
    </row>
    <row r="34" spans="5:6" x14ac:dyDescent="0.35">
      <c r="E34" s="3">
        <v>32</v>
      </c>
      <c r="F34" s="7">
        <f t="shared" si="0"/>
        <v>5.9620550558961939E-16</v>
      </c>
    </row>
    <row r="35" spans="5:6" x14ac:dyDescent="0.35">
      <c r="E35" s="3">
        <v>33</v>
      </c>
      <c r="F35" s="7">
        <f t="shared" si="0"/>
        <v>9.0334167513579496E-17</v>
      </c>
    </row>
    <row r="36" spans="5:6" x14ac:dyDescent="0.35">
      <c r="E36" s="3">
        <v>34</v>
      </c>
      <c r="F36" s="7">
        <f t="shared" si="0"/>
        <v>1.3284436399055676E-17</v>
      </c>
    </row>
    <row r="37" spans="5:6" x14ac:dyDescent="0.35">
      <c r="E37" s="3">
        <v>35</v>
      </c>
      <c r="F37" s="7">
        <f t="shared" si="0"/>
        <v>1.8977766284365282E-18</v>
      </c>
    </row>
    <row r="38" spans="5:6" x14ac:dyDescent="0.35">
      <c r="E38" s="3">
        <v>36</v>
      </c>
      <c r="F38" s="7">
        <f t="shared" si="0"/>
        <v>2.6358008728285044E-19</v>
      </c>
    </row>
    <row r="39" spans="5:6" x14ac:dyDescent="0.35">
      <c r="E39" s="3">
        <v>37</v>
      </c>
      <c r="F39" s="7">
        <f t="shared" si="0"/>
        <v>3.5618930713898303E-20</v>
      </c>
    </row>
    <row r="40" spans="5:6" x14ac:dyDescent="0.35">
      <c r="E40" s="3">
        <v>38</v>
      </c>
      <c r="F40" s="7">
        <f t="shared" si="0"/>
        <v>4.6867014097235461E-21</v>
      </c>
    </row>
    <row r="41" spans="5:6" x14ac:dyDescent="0.35">
      <c r="E41" s="3">
        <v>39</v>
      </c>
      <c r="F41" s="7">
        <f t="shared" si="0"/>
        <v>6.0085915509275958E-22</v>
      </c>
    </row>
    <row r="42" spans="5:6" x14ac:dyDescent="0.35">
      <c r="E42" s="3">
        <v>40</v>
      </c>
      <c r="F42" s="7">
        <f t="shared" si="0"/>
        <v>7.5107394386595207E-23</v>
      </c>
    </row>
    <row r="43" spans="5:6" x14ac:dyDescent="0.35">
      <c r="E43" s="3">
        <v>41</v>
      </c>
      <c r="F43" s="7">
        <f t="shared" si="0"/>
        <v>9.1594383398286335E-24</v>
      </c>
    </row>
    <row r="44" spans="5:6" x14ac:dyDescent="0.35">
      <c r="E44" s="3">
        <v>42</v>
      </c>
      <c r="F44" s="7">
        <f t="shared" si="0"/>
        <v>1.0904093261700771E-24</v>
      </c>
    </row>
    <row r="45" spans="5:6" x14ac:dyDescent="0.35">
      <c r="E45" s="3">
        <v>43</v>
      </c>
      <c r="F45" s="7">
        <f t="shared" si="0"/>
        <v>1.2679178211280085E-25</v>
      </c>
    </row>
    <row r="46" spans="5:6" x14ac:dyDescent="0.35">
      <c r="E46" s="3">
        <v>44</v>
      </c>
      <c r="F46" s="7">
        <f t="shared" si="0"/>
        <v>1.4408157058272622E-26</v>
      </c>
    </row>
    <row r="47" spans="5:6" x14ac:dyDescent="0.35">
      <c r="E47" s="3">
        <v>45</v>
      </c>
      <c r="F47" s="7">
        <f t="shared" si="0"/>
        <v>1.6009063398080765E-27</v>
      </c>
    </row>
    <row r="48" spans="5:6" x14ac:dyDescent="0.35">
      <c r="E48" s="3">
        <v>46</v>
      </c>
      <c r="F48" s="7">
        <f t="shared" si="0"/>
        <v>1.7401155867479202E-28</v>
      </c>
    </row>
    <row r="49" spans="5:6" x14ac:dyDescent="0.35">
      <c r="E49" s="3">
        <v>47</v>
      </c>
      <c r="F49" s="7">
        <f t="shared" si="0"/>
        <v>1.8511867944126477E-29</v>
      </c>
    </row>
    <row r="50" spans="5:6" x14ac:dyDescent="0.35">
      <c r="E50" s="3">
        <v>48</v>
      </c>
      <c r="F50" s="7">
        <f t="shared" si="0"/>
        <v>1.9283195775131986E-30</v>
      </c>
    </row>
    <row r="51" spans="5:6" x14ac:dyDescent="0.35">
      <c r="E51" s="3">
        <v>49</v>
      </c>
      <c r="F51" s="7">
        <f t="shared" si="0"/>
        <v>1.9676730382787564E-31</v>
      </c>
    </row>
    <row r="52" spans="5:6" x14ac:dyDescent="0.35">
      <c r="E52" s="3">
        <v>50</v>
      </c>
      <c r="F52" s="7">
        <f t="shared" si="0"/>
        <v>1.9676730382787648E-32</v>
      </c>
    </row>
    <row r="53" spans="5:6" x14ac:dyDescent="0.35">
      <c r="E53" s="3">
        <v>51</v>
      </c>
      <c r="F53" s="7">
        <f t="shared" si="0"/>
        <v>1.9290912139988144E-33</v>
      </c>
    </row>
    <row r="54" spans="5:6" x14ac:dyDescent="0.35">
      <c r="E54" s="3">
        <v>52</v>
      </c>
      <c r="F54" s="7">
        <f t="shared" si="0"/>
        <v>1.854895398075765E-34</v>
      </c>
    </row>
    <row r="55" spans="5:6" x14ac:dyDescent="0.35">
      <c r="E55" s="3">
        <v>53</v>
      </c>
      <c r="F55" s="7">
        <f t="shared" si="0"/>
        <v>1.7499013189394012E-35</v>
      </c>
    </row>
    <row r="56" spans="5:6" x14ac:dyDescent="0.35">
      <c r="E56" s="3">
        <v>54</v>
      </c>
      <c r="F56" s="7">
        <f t="shared" si="0"/>
        <v>1.6202789990179881E-36</v>
      </c>
    </row>
    <row r="57" spans="5:6" x14ac:dyDescent="0.35">
      <c r="E57" s="3">
        <v>55</v>
      </c>
      <c r="F57" s="7">
        <f t="shared" si="0"/>
        <v>1.4729809081981492E-37</v>
      </c>
    </row>
    <row r="58" spans="5:6" x14ac:dyDescent="0.35">
      <c r="E58" s="3">
        <v>56</v>
      </c>
      <c r="F58" s="7">
        <f t="shared" si="0"/>
        <v>1.3151615251769426E-38</v>
      </c>
    </row>
    <row r="59" spans="5:6" x14ac:dyDescent="0.35">
      <c r="E59" s="3">
        <v>57</v>
      </c>
      <c r="F59" s="7">
        <f t="shared" si="0"/>
        <v>1.1536504606815198E-39</v>
      </c>
    </row>
    <row r="60" spans="5:6" x14ac:dyDescent="0.35">
      <c r="E60" s="3">
        <v>58</v>
      </c>
      <c r="F60" s="7">
        <f t="shared" si="0"/>
        <v>9.9452625920819799E-41</v>
      </c>
    </row>
    <row r="61" spans="5:6" x14ac:dyDescent="0.35">
      <c r="E61" s="3">
        <v>59</v>
      </c>
      <c r="F61" s="7">
        <f t="shared" si="0"/>
        <v>8.4281886373575364E-42</v>
      </c>
    </row>
    <row r="62" spans="5:6" x14ac:dyDescent="0.35">
      <c r="E62" s="3">
        <v>60</v>
      </c>
      <c r="F62" s="7">
        <f t="shared" si="0"/>
        <v>7.0234905311314126E-43</v>
      </c>
    </row>
    <row r="63" spans="5:6" x14ac:dyDescent="0.35">
      <c r="E63" s="3">
        <v>61</v>
      </c>
      <c r="F63" s="7">
        <f t="shared" si="0"/>
        <v>5.7569594517470561E-44</v>
      </c>
    </row>
    <row r="64" spans="5:6" x14ac:dyDescent="0.35">
      <c r="E64" s="3">
        <v>62</v>
      </c>
      <c r="F64" s="7">
        <f t="shared" si="0"/>
        <v>4.6427092352798802E-45</v>
      </c>
    </row>
    <row r="65" spans="5:6" x14ac:dyDescent="0.35">
      <c r="E65" s="3">
        <v>63</v>
      </c>
      <c r="F65" s="7">
        <f t="shared" si="0"/>
        <v>3.6846898692697132E-46</v>
      </c>
    </row>
    <row r="66" spans="5:6" x14ac:dyDescent="0.35">
      <c r="E66" s="3">
        <v>64</v>
      </c>
      <c r="F66" s="7">
        <f t="shared" si="0"/>
        <v>2.8786639603669904E-47</v>
      </c>
    </row>
    <row r="67" spans="5:6" x14ac:dyDescent="0.35">
      <c r="E67" s="3">
        <v>65</v>
      </c>
      <c r="F67" s="7">
        <f t="shared" si="0"/>
        <v>2.2143568925900074E-48</v>
      </c>
    </row>
    <row r="68" spans="5:6" x14ac:dyDescent="0.35">
      <c r="E68" s="3">
        <v>66</v>
      </c>
      <c r="F68" s="7">
        <f t="shared" ref="F68:F102" si="1">_xlfn.POISSON.DIST(E68,C$3,FALSE)</f>
        <v>1.6775431004469291E-49</v>
      </c>
    </row>
    <row r="69" spans="5:6" x14ac:dyDescent="0.35">
      <c r="E69" s="3">
        <v>67</v>
      </c>
      <c r="F69" s="7">
        <f t="shared" si="1"/>
        <v>1.2518978361544393E-50</v>
      </c>
    </row>
    <row r="70" spans="5:6" x14ac:dyDescent="0.35">
      <c r="E70" s="3">
        <v>68</v>
      </c>
      <c r="F70" s="7">
        <f t="shared" si="1"/>
        <v>9.2051311481941954E-52</v>
      </c>
    </row>
    <row r="71" spans="5:6" x14ac:dyDescent="0.35">
      <c r="E71" s="3">
        <v>69</v>
      </c>
      <c r="F71" s="7">
        <f t="shared" si="1"/>
        <v>6.6703848899959649E-53</v>
      </c>
    </row>
    <row r="72" spans="5:6" x14ac:dyDescent="0.35">
      <c r="E72" s="3">
        <v>70</v>
      </c>
      <c r="F72" s="7">
        <f t="shared" si="1"/>
        <v>4.7645606357114056E-54</v>
      </c>
    </row>
    <row r="73" spans="5:6" x14ac:dyDescent="0.35">
      <c r="E73" s="3">
        <v>71</v>
      </c>
      <c r="F73" s="7">
        <f t="shared" si="1"/>
        <v>3.3553243913460844E-55</v>
      </c>
    </row>
    <row r="74" spans="5:6" x14ac:dyDescent="0.35">
      <c r="E74" s="3">
        <v>72</v>
      </c>
      <c r="F74" s="7">
        <f t="shared" si="1"/>
        <v>2.3300863828792732E-56</v>
      </c>
    </row>
    <row r="75" spans="5:6" x14ac:dyDescent="0.35">
      <c r="E75" s="3">
        <v>73</v>
      </c>
      <c r="F75" s="7">
        <f t="shared" si="1"/>
        <v>1.5959495773145108E-57</v>
      </c>
    </row>
    <row r="76" spans="5:6" x14ac:dyDescent="0.35">
      <c r="E76" s="3">
        <v>74</v>
      </c>
      <c r="F76" s="7">
        <f t="shared" si="1"/>
        <v>1.0783443089963106E-58</v>
      </c>
    </row>
    <row r="77" spans="5:6" x14ac:dyDescent="0.35">
      <c r="E77" s="3">
        <v>75</v>
      </c>
      <c r="F77" s="7">
        <f t="shared" si="1"/>
        <v>7.1889620599755041E-60</v>
      </c>
    </row>
    <row r="78" spans="5:6" x14ac:dyDescent="0.35">
      <c r="E78" s="3">
        <v>76</v>
      </c>
      <c r="F78" s="7">
        <f t="shared" si="1"/>
        <v>4.7295803026153726E-61</v>
      </c>
    </row>
    <row r="79" spans="5:6" x14ac:dyDescent="0.35">
      <c r="E79" s="3">
        <v>77</v>
      </c>
      <c r="F79" s="7">
        <f t="shared" si="1"/>
        <v>3.071156040659316E-62</v>
      </c>
    </row>
    <row r="80" spans="5:6" x14ac:dyDescent="0.35">
      <c r="E80" s="3">
        <v>78</v>
      </c>
      <c r="F80" s="7">
        <f t="shared" si="1"/>
        <v>1.9686897696534738E-63</v>
      </c>
    </row>
    <row r="81" spans="5:6" x14ac:dyDescent="0.35">
      <c r="E81" s="3">
        <v>79</v>
      </c>
      <c r="F81" s="7">
        <f t="shared" si="1"/>
        <v>1.246006183324949E-64</v>
      </c>
    </row>
    <row r="82" spans="5:6" x14ac:dyDescent="0.35">
      <c r="E82" s="3">
        <v>80</v>
      </c>
      <c r="F82" s="7">
        <f t="shared" si="1"/>
        <v>7.787538645780813E-66</v>
      </c>
    </row>
    <row r="83" spans="5:6" x14ac:dyDescent="0.35">
      <c r="E83" s="3">
        <v>81</v>
      </c>
      <c r="F83" s="7">
        <f t="shared" si="1"/>
        <v>4.8071226208524682E-67</v>
      </c>
    </row>
    <row r="84" spans="5:6" x14ac:dyDescent="0.35">
      <c r="E84" s="3">
        <v>82</v>
      </c>
      <c r="F84" s="7">
        <f t="shared" si="1"/>
        <v>2.9311723297879517E-68</v>
      </c>
    </row>
    <row r="85" spans="5:6" x14ac:dyDescent="0.35">
      <c r="E85" s="3">
        <v>83</v>
      </c>
      <c r="F85" s="7">
        <f t="shared" si="1"/>
        <v>1.7657664637277417E-69</v>
      </c>
    </row>
    <row r="86" spans="5:6" x14ac:dyDescent="0.35">
      <c r="E86" s="3">
        <v>84</v>
      </c>
      <c r="F86" s="7">
        <f t="shared" si="1"/>
        <v>1.0510514665046062E-70</v>
      </c>
    </row>
    <row r="87" spans="5:6" x14ac:dyDescent="0.35">
      <c r="E87" s="3">
        <v>85</v>
      </c>
      <c r="F87" s="7">
        <f t="shared" si="1"/>
        <v>6.1826556853212259E-72</v>
      </c>
    </row>
    <row r="88" spans="5:6" x14ac:dyDescent="0.35">
      <c r="E88" s="3">
        <v>86</v>
      </c>
      <c r="F88" s="7">
        <f t="shared" si="1"/>
        <v>3.5945672589076742E-73</v>
      </c>
    </row>
    <row r="89" spans="5:6" x14ac:dyDescent="0.35">
      <c r="E89" s="3">
        <v>87</v>
      </c>
      <c r="F89" s="7">
        <f t="shared" si="1"/>
        <v>2.0658432522457888E-74</v>
      </c>
    </row>
    <row r="90" spans="5:6" x14ac:dyDescent="0.35">
      <c r="E90" s="3">
        <v>88</v>
      </c>
      <c r="F90" s="7">
        <f t="shared" si="1"/>
        <v>1.1737745751396318E-75</v>
      </c>
    </row>
    <row r="91" spans="5:6" x14ac:dyDescent="0.35">
      <c r="E91" s="3">
        <v>89</v>
      </c>
      <c r="F91" s="7">
        <f t="shared" si="1"/>
        <v>6.594239186177695E-77</v>
      </c>
    </row>
    <row r="92" spans="5:6" x14ac:dyDescent="0.35">
      <c r="E92" s="3">
        <v>90</v>
      </c>
      <c r="F92" s="7">
        <f t="shared" si="1"/>
        <v>3.6634662145433404E-78</v>
      </c>
    </row>
    <row r="93" spans="5:6" x14ac:dyDescent="0.35">
      <c r="E93" s="3">
        <v>91</v>
      </c>
      <c r="F93" s="7">
        <f t="shared" si="1"/>
        <v>2.0128935244743528E-79</v>
      </c>
    </row>
    <row r="94" spans="5:6" x14ac:dyDescent="0.35">
      <c r="E94" s="3">
        <v>92</v>
      </c>
      <c r="F94" s="7">
        <f t="shared" si="1"/>
        <v>1.0939638719969116E-80</v>
      </c>
    </row>
    <row r="95" spans="5:6" x14ac:dyDescent="0.35">
      <c r="E95" s="3">
        <v>93</v>
      </c>
      <c r="F95" s="7">
        <f t="shared" si="1"/>
        <v>5.881526193531642E-82</v>
      </c>
    </row>
    <row r="96" spans="5:6" x14ac:dyDescent="0.35">
      <c r="E96" s="3">
        <v>94</v>
      </c>
      <c r="F96" s="7">
        <f t="shared" si="1"/>
        <v>3.1284713795381721E-83</v>
      </c>
    </row>
    <row r="97" spans="5:6" x14ac:dyDescent="0.35">
      <c r="E97" s="3">
        <v>95</v>
      </c>
      <c r="F97" s="7">
        <f t="shared" si="1"/>
        <v>1.6465638839674376E-84</v>
      </c>
    </row>
    <row r="98" spans="5:6" x14ac:dyDescent="0.35">
      <c r="E98" s="3">
        <v>96</v>
      </c>
      <c r="F98" s="7">
        <f t="shared" si="1"/>
        <v>8.5758535623304079E-86</v>
      </c>
    </row>
    <row r="99" spans="5:6" x14ac:dyDescent="0.35">
      <c r="E99" s="3">
        <v>97</v>
      </c>
      <c r="F99" s="7">
        <f t="shared" si="1"/>
        <v>4.4205430733663599E-87</v>
      </c>
    </row>
    <row r="100" spans="5:6" x14ac:dyDescent="0.35">
      <c r="E100" s="3">
        <v>98</v>
      </c>
      <c r="F100" s="7">
        <f t="shared" si="1"/>
        <v>2.2553791190644136E-88</v>
      </c>
    </row>
    <row r="101" spans="5:6" x14ac:dyDescent="0.35">
      <c r="E101" s="3">
        <v>99</v>
      </c>
      <c r="F101" s="7">
        <f t="shared" si="1"/>
        <v>1.1390803631638423E-89</v>
      </c>
    </row>
    <row r="102" spans="5:6" x14ac:dyDescent="0.35">
      <c r="E102" s="3">
        <v>100</v>
      </c>
      <c r="F102" s="7">
        <f t="shared" si="1"/>
        <v>5.6954018158194734E-91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69462-E595-4EC5-8CA9-EC2036E98F4A}">
  <dimension ref="B2:H102"/>
  <sheetViews>
    <sheetView zoomScale="70" zoomScaleNormal="70" workbookViewId="0">
      <selection activeCell="P27" sqref="P27"/>
    </sheetView>
  </sheetViews>
  <sheetFormatPr defaultRowHeight="14.5" x14ac:dyDescent="0.35"/>
  <cols>
    <col min="1" max="1" width="3.36328125" style="1" customWidth="1"/>
    <col min="2" max="2" width="14.90625" style="1" bestFit="1" customWidth="1"/>
    <col min="3" max="3" width="8.7265625" style="1"/>
    <col min="4" max="4" width="8.7265625" style="1" customWidth="1"/>
    <col min="5" max="5" width="12" style="3" customWidth="1"/>
    <col min="6" max="6" width="12" style="7" customWidth="1"/>
    <col min="7" max="16384" width="8.7265625" style="1"/>
  </cols>
  <sheetData>
    <row r="2" spans="2:8" x14ac:dyDescent="0.35">
      <c r="B2" s="5" t="s">
        <v>9</v>
      </c>
      <c r="C2" s="5" t="s">
        <v>10</v>
      </c>
      <c r="E2" s="6" t="s">
        <v>23</v>
      </c>
      <c r="F2" s="8" t="s">
        <v>20</v>
      </c>
      <c r="H2" s="1" t="str">
        <f>"Expo Dist - lambda = "&amp;C3</f>
        <v>Expo Dist - lambda = 5</v>
      </c>
    </row>
    <row r="3" spans="2:8" x14ac:dyDescent="0.35">
      <c r="B3" s="1" t="s">
        <v>15</v>
      </c>
      <c r="C3" s="4">
        <v>5</v>
      </c>
      <c r="E3" s="3">
        <v>0.01</v>
      </c>
      <c r="F3" s="7">
        <f>_xlfn.EXPON.DIST(E3,C$3,TRUE)</f>
        <v>4.8770575499285991E-2</v>
      </c>
    </row>
    <row r="4" spans="2:8" x14ac:dyDescent="0.35">
      <c r="E4" s="3">
        <v>0.02</v>
      </c>
      <c r="F4" s="7">
        <f>_xlfn.EXPON.DIST(E4,C$3,TRUE)-_xlfn.EXPON.DIST(E3,C$3,TRUE)</f>
        <v>4.6392006464754436E-2</v>
      </c>
    </row>
    <row r="5" spans="2:8" x14ac:dyDescent="0.35">
      <c r="E5" s="3">
        <v>0.03</v>
      </c>
      <c r="F5" s="7">
        <f t="shared" ref="F5:F68" si="0">_xlfn.EXPON.DIST(E5,C$3,TRUE)-_xlfn.EXPON.DIST(E4,C$3,TRUE)</f>
        <v>4.4129441610901765E-2</v>
      </c>
    </row>
    <row r="6" spans="2:8" x14ac:dyDescent="0.35">
      <c r="E6" s="3">
        <v>0.04</v>
      </c>
      <c r="F6" s="7">
        <f t="shared" si="0"/>
        <v>4.1977223347075959E-2</v>
      </c>
    </row>
    <row r="7" spans="2:8" x14ac:dyDescent="0.35">
      <c r="E7" s="3">
        <v>0.05</v>
      </c>
      <c r="F7" s="7">
        <f t="shared" si="0"/>
        <v>3.992997000657697E-2</v>
      </c>
    </row>
    <row r="8" spans="2:8" x14ac:dyDescent="0.35">
      <c r="E8" s="3">
        <v>0.06</v>
      </c>
      <c r="F8" s="7">
        <f t="shared" si="0"/>
        <v>3.7982562389687002E-2</v>
      </c>
    </row>
    <row r="9" spans="2:8" x14ac:dyDescent="0.35">
      <c r="E9" s="3">
        <v>7.0000000000000007E-2</v>
      </c>
      <c r="F9" s="7">
        <f t="shared" si="0"/>
        <v>3.6130130963004492E-2</v>
      </c>
    </row>
    <row r="10" spans="2:8" x14ac:dyDescent="0.35">
      <c r="E10" s="3">
        <v>0.08</v>
      </c>
      <c r="F10" s="7">
        <f t="shared" si="0"/>
        <v>3.4368043683074112E-2</v>
      </c>
    </row>
    <row r="11" spans="2:8" x14ac:dyDescent="0.35">
      <c r="E11" s="3">
        <v>0.09</v>
      </c>
      <c r="F11" s="7">
        <f t="shared" si="0"/>
        <v>3.2691894413865941E-2</v>
      </c>
    </row>
    <row r="12" spans="2:8" x14ac:dyDescent="0.35">
      <c r="E12" s="3">
        <v>0.1</v>
      </c>
      <c r="F12" s="7">
        <f t="shared" si="0"/>
        <v>3.1097491909139907E-2</v>
      </c>
    </row>
    <row r="13" spans="2:8" x14ac:dyDescent="0.35">
      <c r="E13" s="3">
        <v>0.11</v>
      </c>
      <c r="F13" s="7">
        <f t="shared" si="0"/>
        <v>2.9580849332146775E-2</v>
      </c>
    </row>
    <row r="14" spans="2:8" x14ac:dyDescent="0.35">
      <c r="E14" s="3">
        <v>0.12</v>
      </c>
      <c r="F14" s="7">
        <f t="shared" si="0"/>
        <v>2.8138174286460149E-2</v>
      </c>
    </row>
    <row r="15" spans="2:8" x14ac:dyDescent="0.35">
      <c r="E15" s="3">
        <v>0.13</v>
      </c>
      <c r="F15" s="7">
        <f t="shared" si="0"/>
        <v>2.6765859333010456E-2</v>
      </c>
    </row>
    <row r="16" spans="2:8" x14ac:dyDescent="0.35">
      <c r="E16" s="3">
        <v>0.14000000000000001</v>
      </c>
      <c r="F16" s="7">
        <f t="shared" si="0"/>
        <v>2.5460472969606629E-2</v>
      </c>
    </row>
    <row r="17" spans="5:6" x14ac:dyDescent="0.35">
      <c r="E17" s="3">
        <v>0.15</v>
      </c>
      <c r="F17" s="7">
        <f t="shared" si="0"/>
        <v>2.4218751050394727E-2</v>
      </c>
    </row>
    <row r="18" spans="5:6" x14ac:dyDescent="0.35">
      <c r="E18" s="3">
        <v>0.16</v>
      </c>
      <c r="F18" s="7">
        <f t="shared" si="0"/>
        <v>2.3037588623793126E-2</v>
      </c>
    </row>
    <row r="19" spans="5:6" x14ac:dyDescent="0.35">
      <c r="E19" s="3">
        <v>0.17</v>
      </c>
      <c r="F19" s="7">
        <f t="shared" si="0"/>
        <v>2.1914032168494968E-2</v>
      </c>
    </row>
    <row r="20" spans="5:6" x14ac:dyDescent="0.35">
      <c r="E20" s="3">
        <v>0.18</v>
      </c>
      <c r="F20" s="7">
        <f t="shared" si="0"/>
        <v>2.0845272208127374E-2</v>
      </c>
    </row>
    <row r="21" spans="5:6" x14ac:dyDescent="0.35">
      <c r="E21" s="3">
        <v>0.19</v>
      </c>
      <c r="F21" s="7">
        <f t="shared" si="0"/>
        <v>1.9828636286097989E-2</v>
      </c>
    </row>
    <row r="22" spans="5:6" x14ac:dyDescent="0.35">
      <c r="E22" s="3">
        <v>0.2</v>
      </c>
      <c r="F22" s="7">
        <f t="shared" si="0"/>
        <v>1.8861582283058898E-2</v>
      </c>
    </row>
    <row r="23" spans="5:6" x14ac:dyDescent="0.35">
      <c r="E23" s="3">
        <v>0.21</v>
      </c>
      <c r="F23" s="7">
        <f t="shared" si="0"/>
        <v>1.7941692060287062E-2</v>
      </c>
    </row>
    <row r="24" spans="5:6" x14ac:dyDescent="0.35">
      <c r="E24" s="3">
        <v>0.22</v>
      </c>
      <c r="F24" s="7">
        <f t="shared" si="0"/>
        <v>1.7066665413075777E-2</v>
      </c>
    </row>
    <row r="25" spans="5:6" x14ac:dyDescent="0.35">
      <c r="E25" s="3">
        <v>0.23</v>
      </c>
      <c r="F25" s="7">
        <f t="shared" si="0"/>
        <v>1.6234314319026333E-2</v>
      </c>
    </row>
    <row r="26" spans="5:6" x14ac:dyDescent="0.35">
      <c r="E26" s="3">
        <v>0.24</v>
      </c>
      <c r="F26" s="7">
        <f t="shared" si="0"/>
        <v>1.544255746685097E-2</v>
      </c>
    </row>
    <row r="27" spans="5:6" x14ac:dyDescent="0.35">
      <c r="E27" s="3">
        <v>0.25</v>
      </c>
      <c r="F27" s="7">
        <f t="shared" si="0"/>
        <v>1.4689415052012045E-2</v>
      </c>
    </row>
    <row r="28" spans="5:6" x14ac:dyDescent="0.35">
      <c r="E28" s="3">
        <v>0.26</v>
      </c>
      <c r="F28" s="7">
        <f t="shared" si="0"/>
        <v>1.397300382617761E-2</v>
      </c>
    </row>
    <row r="29" spans="5:6" x14ac:dyDescent="0.35">
      <c r="E29" s="3">
        <v>0.27</v>
      </c>
      <c r="F29" s="7">
        <f t="shared" si="0"/>
        <v>1.3291532388121086E-2</v>
      </c>
    </row>
    <row r="30" spans="5:6" x14ac:dyDescent="0.35">
      <c r="E30" s="3">
        <v>0.28000000000000003</v>
      </c>
      <c r="F30" s="7">
        <f t="shared" si="0"/>
        <v>1.264329670428499E-2</v>
      </c>
    </row>
    <row r="31" spans="5:6" x14ac:dyDescent="0.35">
      <c r="E31" s="3">
        <v>0.28999999999999998</v>
      </c>
      <c r="F31" s="7">
        <f t="shared" si="0"/>
        <v>1.202667584780881E-2</v>
      </c>
    </row>
    <row r="32" spans="5:6" x14ac:dyDescent="0.35">
      <c r="E32" s="3">
        <v>0.3</v>
      </c>
      <c r="F32" s="7">
        <f t="shared" si="0"/>
        <v>1.1440127945367862E-2</v>
      </c>
    </row>
    <row r="33" spans="5:6" x14ac:dyDescent="0.35">
      <c r="E33" s="3">
        <v>0.31</v>
      </c>
      <c r="F33" s="7">
        <f t="shared" si="0"/>
        <v>1.0882186321686693E-2</v>
      </c>
    </row>
    <row r="34" spans="5:6" x14ac:dyDescent="0.35">
      <c r="E34" s="3">
        <v>0.32</v>
      </c>
      <c r="F34" s="7">
        <f t="shared" si="0"/>
        <v>1.0351455832087741E-2</v>
      </c>
    </row>
    <row r="35" spans="5:6" x14ac:dyDescent="0.35">
      <c r="E35" s="3">
        <v>0.33</v>
      </c>
      <c r="F35" s="7">
        <f t="shared" si="0"/>
        <v>9.8466093739012495E-3</v>
      </c>
    </row>
    <row r="36" spans="5:6" x14ac:dyDescent="0.35">
      <c r="E36" s="3">
        <v>0.34</v>
      </c>
      <c r="F36" s="7">
        <f t="shared" si="0"/>
        <v>9.3663845680195257E-3</v>
      </c>
    </row>
    <row r="37" spans="5:6" x14ac:dyDescent="0.35">
      <c r="E37" s="3">
        <v>0.35</v>
      </c>
      <c r="F37" s="7">
        <f t="shared" si="0"/>
        <v>8.9095806022894131E-3</v>
      </c>
    </row>
    <row r="38" spans="5:6" x14ac:dyDescent="0.35">
      <c r="E38" s="3">
        <v>0.36</v>
      </c>
      <c r="F38" s="7">
        <f t="shared" si="0"/>
        <v>8.4750552288586078E-3</v>
      </c>
    </row>
    <row r="39" spans="5:6" x14ac:dyDescent="0.35">
      <c r="E39" s="3">
        <v>0.37</v>
      </c>
      <c r="F39" s="7">
        <f t="shared" si="0"/>
        <v>8.0617219079589519E-3</v>
      </c>
    </row>
    <row r="40" spans="5:6" x14ac:dyDescent="0.35">
      <c r="E40" s="3">
        <v>0.38</v>
      </c>
      <c r="F40" s="7">
        <f t="shared" si="0"/>
        <v>7.6685470909925169E-3</v>
      </c>
    </row>
    <row r="41" spans="5:6" x14ac:dyDescent="0.35">
      <c r="E41" s="3">
        <v>0.39</v>
      </c>
      <c r="F41" s="7">
        <f t="shared" si="0"/>
        <v>7.2945476361215844E-3</v>
      </c>
    </row>
    <row r="42" spans="5:6" x14ac:dyDescent="0.35">
      <c r="E42" s="3">
        <v>0.4</v>
      </c>
      <c r="F42" s="7">
        <f t="shared" si="0"/>
        <v>6.9387883499008041E-3</v>
      </c>
    </row>
    <row r="43" spans="5:6" x14ac:dyDescent="0.35">
      <c r="E43" s="3">
        <v>0.41</v>
      </c>
      <c r="F43" s="7">
        <f t="shared" si="0"/>
        <v>6.600379648808441E-3</v>
      </c>
    </row>
    <row r="44" spans="5:6" x14ac:dyDescent="0.35">
      <c r="E44" s="3">
        <v>0.42</v>
      </c>
      <c r="F44" s="7">
        <f t="shared" si="0"/>
        <v>6.2784753348223976E-3</v>
      </c>
    </row>
    <row r="45" spans="5:6" x14ac:dyDescent="0.35">
      <c r="E45" s="3">
        <v>0.43</v>
      </c>
      <c r="F45" s="7">
        <f t="shared" si="0"/>
        <v>5.972270479484898E-3</v>
      </c>
    </row>
    <row r="46" spans="5:6" x14ac:dyDescent="0.35">
      <c r="E46" s="3">
        <v>0.44</v>
      </c>
      <c r="F46" s="7">
        <f t="shared" si="0"/>
        <v>5.6809994111630679E-3</v>
      </c>
    </row>
    <row r="47" spans="5:6" x14ac:dyDescent="0.35">
      <c r="E47" s="3">
        <v>0.45</v>
      </c>
      <c r="F47" s="7">
        <f t="shared" si="0"/>
        <v>5.4039338004695514E-3</v>
      </c>
    </row>
    <row r="48" spans="5:6" x14ac:dyDescent="0.35">
      <c r="E48" s="3">
        <v>0.46</v>
      </c>
      <c r="F48" s="7">
        <f t="shared" si="0"/>
        <v>5.1403808390606542E-3</v>
      </c>
    </row>
    <row r="49" spans="5:6" x14ac:dyDescent="0.35">
      <c r="E49" s="3">
        <v>0.47</v>
      </c>
      <c r="F49" s="7">
        <f t="shared" si="0"/>
        <v>4.8896815072539956E-3</v>
      </c>
    </row>
    <row r="50" spans="5:6" x14ac:dyDescent="0.35">
      <c r="E50" s="3">
        <v>0.48</v>
      </c>
      <c r="F50" s="7">
        <f t="shared" si="0"/>
        <v>4.6512089261372402E-3</v>
      </c>
    </row>
    <row r="51" spans="5:6" x14ac:dyDescent="0.35">
      <c r="E51" s="3">
        <v>0.49</v>
      </c>
      <c r="F51" s="7">
        <f t="shared" si="0"/>
        <v>4.4243667900419892E-3</v>
      </c>
    </row>
    <row r="52" spans="5:6" x14ac:dyDescent="0.35">
      <c r="E52" s="3">
        <v>0.5</v>
      </c>
      <c r="F52" s="7">
        <f t="shared" si="0"/>
        <v>4.2085878754716255E-3</v>
      </c>
    </row>
    <row r="53" spans="5:6" x14ac:dyDescent="0.35">
      <c r="E53" s="3">
        <v>0.51</v>
      </c>
      <c r="F53" s="7">
        <f t="shared" si="0"/>
        <v>4.0033326227456589E-3</v>
      </c>
    </row>
    <row r="54" spans="5:6" x14ac:dyDescent="0.35">
      <c r="E54" s="3">
        <v>0.52</v>
      </c>
      <c r="F54" s="7">
        <f t="shared" si="0"/>
        <v>3.8080877868192919E-3</v>
      </c>
    </row>
    <row r="55" spans="5:6" x14ac:dyDescent="0.35">
      <c r="E55" s="3">
        <v>0.53</v>
      </c>
      <c r="F55" s="7">
        <f t="shared" si="0"/>
        <v>3.62236515390435E-3</v>
      </c>
    </row>
    <row r="56" spans="5:6" x14ac:dyDescent="0.35">
      <c r="E56" s="3">
        <v>0.54</v>
      </c>
      <c r="F56" s="7">
        <f t="shared" si="0"/>
        <v>3.445700320679812E-3</v>
      </c>
    </row>
    <row r="57" spans="5:6" x14ac:dyDescent="0.35">
      <c r="E57" s="3">
        <v>0.55000000000000004</v>
      </c>
      <c r="F57" s="7">
        <f t="shared" si="0"/>
        <v>3.2776515330421585E-3</v>
      </c>
    </row>
    <row r="58" spans="5:6" x14ac:dyDescent="0.35">
      <c r="E58" s="3">
        <v>0.56000000000000005</v>
      </c>
      <c r="F58" s="7">
        <f t="shared" si="0"/>
        <v>3.1177985814896392E-3</v>
      </c>
    </row>
    <row r="59" spans="5:6" x14ac:dyDescent="0.35">
      <c r="E59" s="3">
        <v>0.56999999999999995</v>
      </c>
      <c r="F59" s="7">
        <f t="shared" si="0"/>
        <v>2.965741750379447E-3</v>
      </c>
    </row>
    <row r="60" spans="5:6" x14ac:dyDescent="0.35">
      <c r="E60" s="3">
        <v>0.57999999999999996</v>
      </c>
      <c r="F60" s="7">
        <f t="shared" si="0"/>
        <v>2.8211008184312325E-3</v>
      </c>
    </row>
    <row r="61" spans="5:6" x14ac:dyDescent="0.35">
      <c r="E61" s="3">
        <v>0.59</v>
      </c>
      <c r="F61" s="7">
        <f t="shared" si="0"/>
        <v>2.6835141079748492E-3</v>
      </c>
    </row>
    <row r="62" spans="5:6" x14ac:dyDescent="0.35">
      <c r="E62" s="3">
        <v>0.6</v>
      </c>
      <c r="F62" s="7">
        <f t="shared" si="0"/>
        <v>2.5526375805684509E-3</v>
      </c>
    </row>
    <row r="63" spans="5:6" x14ac:dyDescent="0.35">
      <c r="E63" s="3">
        <v>0.61</v>
      </c>
      <c r="F63" s="7">
        <f t="shared" si="0"/>
        <v>2.428143976722974E-3</v>
      </c>
    </row>
    <row r="64" spans="5:6" x14ac:dyDescent="0.35">
      <c r="E64" s="3">
        <v>0.62</v>
      </c>
      <c r="F64" s="7">
        <f t="shared" si="0"/>
        <v>2.3097219975831695E-3</v>
      </c>
    </row>
    <row r="65" spans="5:6" x14ac:dyDescent="0.35">
      <c r="E65" s="3">
        <v>0.63</v>
      </c>
      <c r="F65" s="7">
        <f t="shared" si="0"/>
        <v>2.1970755265176001E-3</v>
      </c>
    </row>
    <row r="66" spans="5:6" x14ac:dyDescent="0.35">
      <c r="E66" s="3">
        <v>0.64</v>
      </c>
      <c r="F66" s="7">
        <f t="shared" si="0"/>
        <v>2.0899228886740451E-3</v>
      </c>
    </row>
    <row r="67" spans="5:6" x14ac:dyDescent="0.35">
      <c r="E67" s="3">
        <v>0.65</v>
      </c>
      <c r="F67" s="7">
        <f t="shared" si="0"/>
        <v>1.9879961466441332E-3</v>
      </c>
    </row>
    <row r="68" spans="5:6" x14ac:dyDescent="0.35">
      <c r="E68" s="3">
        <v>0.66</v>
      </c>
      <c r="F68" s="7">
        <f t="shared" si="0"/>
        <v>1.8910404304820494E-3</v>
      </c>
    </row>
    <row r="69" spans="5:6" x14ac:dyDescent="0.35">
      <c r="E69" s="3">
        <v>0.67</v>
      </c>
      <c r="F69" s="7">
        <f t="shared" ref="F69:F102" si="1">_xlfn.EXPON.DIST(E69,C$3,TRUE)-_xlfn.EXPON.DIST(E68,C$3,TRUE)</f>
        <v>1.7988133003949969E-3</v>
      </c>
    </row>
    <row r="70" spans="5:6" x14ac:dyDescent="0.35">
      <c r="E70" s="3">
        <v>0.68</v>
      </c>
      <c r="F70" s="7">
        <f t="shared" si="1"/>
        <v>1.7110841405189037E-3</v>
      </c>
    </row>
    <row r="71" spans="5:6" x14ac:dyDescent="0.35">
      <c r="E71" s="3">
        <v>0.69</v>
      </c>
      <c r="F71" s="7">
        <f t="shared" si="1"/>
        <v>1.6276335822581478E-3</v>
      </c>
    </row>
    <row r="72" spans="5:6" x14ac:dyDescent="0.35">
      <c r="E72" s="3">
        <v>0.7</v>
      </c>
      <c r="F72" s="7">
        <f t="shared" si="1"/>
        <v>1.5482529557494518E-3</v>
      </c>
    </row>
    <row r="73" spans="5:6" x14ac:dyDescent="0.35">
      <c r="E73" s="3">
        <v>0.71</v>
      </c>
      <c r="F73" s="7">
        <f t="shared" si="1"/>
        <v>1.4727437680790434E-3</v>
      </c>
    </row>
    <row r="74" spans="5:6" x14ac:dyDescent="0.35">
      <c r="E74" s="3">
        <v>0.72</v>
      </c>
      <c r="F74" s="7">
        <f t="shared" si="1"/>
        <v>1.4009172069469056E-3</v>
      </c>
    </row>
    <row r="75" spans="5:6" x14ac:dyDescent="0.35">
      <c r="E75" s="3">
        <v>0.73</v>
      </c>
      <c r="F75" s="7">
        <f t="shared" si="1"/>
        <v>1.3325936685372186E-3</v>
      </c>
    </row>
    <row r="76" spans="5:6" x14ac:dyDescent="0.35">
      <c r="E76" s="3">
        <v>0.74</v>
      </c>
      <c r="F76" s="7">
        <f t="shared" si="1"/>
        <v>1.2676023084159382E-3</v>
      </c>
    </row>
    <row r="77" spans="5:6" x14ac:dyDescent="0.35">
      <c r="E77" s="3">
        <v>0.75</v>
      </c>
      <c r="F77" s="7">
        <f t="shared" si="1"/>
        <v>1.2057806143302985E-3</v>
      </c>
    </row>
    <row r="78" spans="5:6" x14ac:dyDescent="0.35">
      <c r="E78" s="3">
        <v>0.76</v>
      </c>
      <c r="F78" s="7">
        <f t="shared" si="1"/>
        <v>1.1469739998434259E-3</v>
      </c>
    </row>
    <row r="79" spans="5:6" x14ac:dyDescent="0.35">
      <c r="E79" s="3">
        <v>0.77</v>
      </c>
      <c r="F79" s="7">
        <f t="shared" si="1"/>
        <v>1.0910354177884329E-3</v>
      </c>
    </row>
    <row r="80" spans="5:6" x14ac:dyDescent="0.35">
      <c r="E80" s="3">
        <v>0.78</v>
      </c>
      <c r="F80" s="7">
        <f t="shared" si="1"/>
        <v>1.0378249925728777E-3</v>
      </c>
    </row>
    <row r="81" spans="5:6" x14ac:dyDescent="0.35">
      <c r="E81" s="3">
        <v>0.79</v>
      </c>
      <c r="F81" s="7">
        <f t="shared" si="1"/>
        <v>9.8720967041743268E-4</v>
      </c>
    </row>
    <row r="82" spans="5:6" x14ac:dyDescent="0.35">
      <c r="E82" s="3">
        <v>0.8</v>
      </c>
      <c r="F82" s="7">
        <f t="shared" si="1"/>
        <v>9.3906288665268622E-4</v>
      </c>
    </row>
    <row r="83" spans="5:6" x14ac:dyDescent="0.35">
      <c r="E83" s="3">
        <v>0.81</v>
      </c>
      <c r="F83" s="7">
        <f t="shared" si="1"/>
        <v>8.9326424924074388E-4</v>
      </c>
    </row>
    <row r="84" spans="5:6" x14ac:dyDescent="0.35">
      <c r="E84" s="3">
        <v>0.82</v>
      </c>
      <c r="F84" s="7">
        <f t="shared" si="1"/>
        <v>8.4969923773225986E-4</v>
      </c>
    </row>
    <row r="85" spans="5:6" x14ac:dyDescent="0.35">
      <c r="E85" s="3">
        <v>0.83</v>
      </c>
      <c r="F85" s="7">
        <f t="shared" si="1"/>
        <v>8.0825891690672336E-4</v>
      </c>
    </row>
    <row r="86" spans="5:6" x14ac:dyDescent="0.35">
      <c r="E86" s="3">
        <v>0.84</v>
      </c>
      <c r="F86" s="7">
        <f t="shared" si="1"/>
        <v>7.6883966437679696E-4</v>
      </c>
    </row>
    <row r="87" spans="5:6" x14ac:dyDescent="0.35">
      <c r="E87" s="3">
        <v>0.85</v>
      </c>
      <c r="F87" s="7">
        <f t="shared" si="1"/>
        <v>7.3134291147847197E-4</v>
      </c>
    </row>
    <row r="88" spans="5:6" x14ac:dyDescent="0.35">
      <c r="E88" s="3">
        <v>0.86</v>
      </c>
      <c r="F88" s="7">
        <f t="shared" si="1"/>
        <v>6.9567489679833727E-4</v>
      </c>
    </row>
    <row r="89" spans="5:6" x14ac:dyDescent="0.35">
      <c r="E89" s="3">
        <v>0.87</v>
      </c>
      <c r="F89" s="7">
        <f t="shared" si="1"/>
        <v>6.6174643172101089E-4</v>
      </c>
    </row>
    <row r="90" spans="5:6" x14ac:dyDescent="0.35">
      <c r="E90" s="3">
        <v>0.88</v>
      </c>
      <c r="F90" s="7">
        <f t="shared" si="1"/>
        <v>6.2947267741142454E-4</v>
      </c>
    </row>
    <row r="91" spans="5:6" x14ac:dyDescent="0.35">
      <c r="E91" s="3">
        <v>0.89</v>
      </c>
      <c r="F91" s="7">
        <f t="shared" si="1"/>
        <v>5.9877293267296405E-4</v>
      </c>
    </row>
    <row r="92" spans="5:6" x14ac:dyDescent="0.35">
      <c r="E92" s="3">
        <v>0.9</v>
      </c>
      <c r="F92" s="7">
        <f t="shared" si="1"/>
        <v>5.6957043215322134E-4</v>
      </c>
    </row>
    <row r="93" spans="5:6" x14ac:dyDescent="0.35">
      <c r="E93" s="3">
        <v>0.91</v>
      </c>
      <c r="F93" s="7">
        <f t="shared" si="1"/>
        <v>5.4179215438965311E-4</v>
      </c>
    </row>
    <row r="94" spans="5:6" x14ac:dyDescent="0.35">
      <c r="E94" s="3">
        <v>0.92</v>
      </c>
      <c r="F94" s="7">
        <f t="shared" si="1"/>
        <v>5.153686392190826E-4</v>
      </c>
    </row>
    <row r="95" spans="5:6" x14ac:dyDescent="0.35">
      <c r="E95" s="3">
        <v>0.93</v>
      </c>
      <c r="F95" s="7">
        <f t="shared" si="1"/>
        <v>4.9023381409007971E-4</v>
      </c>
    </row>
    <row r="96" spans="5:6" x14ac:dyDescent="0.35">
      <c r="E96" s="3">
        <v>0.94</v>
      </c>
      <c r="F96" s="7">
        <f t="shared" si="1"/>
        <v>4.6632482884767512E-4</v>
      </c>
    </row>
    <row r="97" spans="5:6" x14ac:dyDescent="0.35">
      <c r="E97" s="3">
        <v>0.95</v>
      </c>
      <c r="F97" s="7">
        <f t="shared" si="1"/>
        <v>4.4358189857518493E-4</v>
      </c>
    </row>
    <row r="98" spans="5:6" x14ac:dyDescent="0.35">
      <c r="E98" s="3">
        <v>0.96</v>
      </c>
      <c r="F98" s="7">
        <f t="shared" si="1"/>
        <v>4.2194815410057096E-4</v>
      </c>
    </row>
    <row r="99" spans="5:6" x14ac:dyDescent="0.35">
      <c r="E99" s="3">
        <v>0.97</v>
      </c>
      <c r="F99" s="7">
        <f t="shared" si="1"/>
        <v>4.0136949979419079E-4</v>
      </c>
    </row>
    <row r="100" spans="5:6" x14ac:dyDescent="0.35">
      <c r="E100" s="3">
        <v>0.98</v>
      </c>
      <c r="F100" s="7">
        <f t="shared" si="1"/>
        <v>3.8179447830144486E-4</v>
      </c>
    </row>
    <row r="101" spans="5:6" x14ac:dyDescent="0.35">
      <c r="E101" s="3">
        <v>0.99</v>
      </c>
      <c r="F101" s="7">
        <f t="shared" si="1"/>
        <v>3.6317414187225783E-4</v>
      </c>
    </row>
    <row r="102" spans="5:6" x14ac:dyDescent="0.35">
      <c r="E102" s="3">
        <v>1</v>
      </c>
      <c r="F102" s="7">
        <f t="shared" si="1"/>
        <v>3.4546192996665059E-4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B5C92-4806-49E9-892D-D387C465D71A}">
  <dimension ref="B2:S502"/>
  <sheetViews>
    <sheetView zoomScale="70" zoomScaleNormal="70" workbookViewId="0">
      <selection activeCell="S12" sqref="S12"/>
    </sheetView>
  </sheetViews>
  <sheetFormatPr defaultRowHeight="14.5" x14ac:dyDescent="0.35"/>
  <cols>
    <col min="1" max="1" width="3.36328125" style="1" customWidth="1"/>
    <col min="2" max="2" width="14.90625" style="1" bestFit="1" customWidth="1"/>
    <col min="3" max="3" width="8.7265625" style="1"/>
    <col min="4" max="4" width="8.7265625" style="1" customWidth="1"/>
    <col min="5" max="5" width="12" style="3" customWidth="1"/>
    <col min="6" max="6" width="12" style="7" customWidth="1"/>
    <col min="7" max="17" width="8.7265625" style="1"/>
    <col min="18" max="18" width="12" style="3" customWidth="1"/>
    <col min="19" max="19" width="12" style="7" customWidth="1"/>
    <col min="20" max="16384" width="8.7265625" style="1"/>
  </cols>
  <sheetData>
    <row r="2" spans="2:19" x14ac:dyDescent="0.35">
      <c r="B2" s="5" t="s">
        <v>9</v>
      </c>
      <c r="C2" s="5" t="s">
        <v>10</v>
      </c>
      <c r="E2" s="6" t="s">
        <v>24</v>
      </c>
      <c r="F2" s="8" t="s">
        <v>20</v>
      </c>
      <c r="H2" s="1" t="str">
        <f>"Normal/Gaussian Dist. - mu = "&amp;C3&amp;", sigma = "&amp;C4</f>
        <v>Normal/Gaussian Dist. - mu = 50, sigma = 10</v>
      </c>
      <c r="R2" s="6" t="s">
        <v>25</v>
      </c>
      <c r="S2" s="8" t="s">
        <v>26</v>
      </c>
    </row>
    <row r="3" spans="2:19" x14ac:dyDescent="0.35">
      <c r="B3" s="1" t="s">
        <v>13</v>
      </c>
      <c r="C3" s="13">
        <v>50</v>
      </c>
      <c r="E3" s="3">
        <v>1</v>
      </c>
      <c r="F3" s="7">
        <f>_xlfn.NORM.DIST(E3,C$3,C$4,FALSE)</f>
        <v>2.438960745893352E-7</v>
      </c>
      <c r="R3" s="3">
        <v>1</v>
      </c>
      <c r="S3" s="7">
        <f t="shared" ref="S3:S34" ca="1" si="0">NORMINV(RAND(),C$3,C$4)</f>
        <v>39.513658241154239</v>
      </c>
    </row>
    <row r="4" spans="2:19" x14ac:dyDescent="0.35">
      <c r="B4" s="1" t="s">
        <v>14</v>
      </c>
      <c r="C4" s="13">
        <v>10</v>
      </c>
      <c r="E4" s="3">
        <v>2</v>
      </c>
      <c r="F4" s="7">
        <f t="shared" ref="F4:F67" si="1">_xlfn.NORM.DIST(E4,C$3,C$4,FALSE)</f>
        <v>3.9612990910320755E-7</v>
      </c>
      <c r="R4" s="3">
        <v>2</v>
      </c>
      <c r="S4" s="7">
        <f t="shared" ca="1" si="0"/>
        <v>40.033653964083911</v>
      </c>
    </row>
    <row r="5" spans="2:19" x14ac:dyDescent="0.35">
      <c r="E5" s="3">
        <v>3</v>
      </c>
      <c r="F5" s="7">
        <f t="shared" si="1"/>
        <v>6.3698251788670893E-7</v>
      </c>
      <c r="R5" s="3">
        <v>3</v>
      </c>
      <c r="S5" s="7">
        <f t="shared" ca="1" si="0"/>
        <v>51.134345275820486</v>
      </c>
    </row>
    <row r="6" spans="2:19" x14ac:dyDescent="0.35">
      <c r="E6" s="3">
        <v>4</v>
      </c>
      <c r="F6" s="7">
        <f t="shared" si="1"/>
        <v>1.014085206548676E-6</v>
      </c>
      <c r="R6" s="3">
        <v>4</v>
      </c>
      <c r="S6" s="7">
        <f t="shared" ca="1" si="0"/>
        <v>64.559589439954692</v>
      </c>
    </row>
    <row r="7" spans="2:19" x14ac:dyDescent="0.35">
      <c r="B7" s="5" t="s">
        <v>11</v>
      </c>
      <c r="C7" s="5" t="s">
        <v>12</v>
      </c>
      <c r="E7" s="3">
        <v>5</v>
      </c>
      <c r="F7" s="7">
        <f t="shared" si="1"/>
        <v>1.5983741106905478E-6</v>
      </c>
      <c r="R7" s="3">
        <v>5</v>
      </c>
      <c r="S7" s="7">
        <f t="shared" ca="1" si="0"/>
        <v>58.742852525745121</v>
      </c>
    </row>
    <row r="8" spans="2:19" x14ac:dyDescent="0.35">
      <c r="B8" s="1" t="s">
        <v>13</v>
      </c>
      <c r="C8" s="12">
        <f ca="1">AVERAGE(S3:S102)</f>
        <v>49.889927916927952</v>
      </c>
      <c r="E8" s="3">
        <v>6</v>
      </c>
      <c r="F8" s="7">
        <f t="shared" si="1"/>
        <v>2.4942471290053532E-6</v>
      </c>
      <c r="R8" s="3">
        <v>6</v>
      </c>
      <c r="S8" s="7">
        <f t="shared" ca="1" si="0"/>
        <v>42.208879802914026</v>
      </c>
    </row>
    <row r="9" spans="2:19" x14ac:dyDescent="0.35">
      <c r="B9" s="1" t="s">
        <v>14</v>
      </c>
      <c r="C9" s="12">
        <f ca="1">_xlfn.STDEV.S(S3:S102)</f>
        <v>10.916746653302377</v>
      </c>
      <c r="E9" s="3">
        <v>7</v>
      </c>
      <c r="F9" s="7">
        <f t="shared" si="1"/>
        <v>3.8535196742087128E-6</v>
      </c>
      <c r="R9" s="3">
        <v>7</v>
      </c>
      <c r="S9" s="7">
        <f t="shared" ca="1" si="0"/>
        <v>51.616557698062721</v>
      </c>
    </row>
    <row r="10" spans="2:19" x14ac:dyDescent="0.35">
      <c r="E10" s="3">
        <v>8</v>
      </c>
      <c r="F10" s="7">
        <f t="shared" si="1"/>
        <v>5.8943067756539858E-6</v>
      </c>
      <c r="R10" s="3">
        <v>8</v>
      </c>
      <c r="S10" s="7">
        <f t="shared" ca="1" si="0"/>
        <v>42.599136423677578</v>
      </c>
    </row>
    <row r="11" spans="2:19" x14ac:dyDescent="0.35">
      <c r="E11" s="3">
        <v>9</v>
      </c>
      <c r="F11" s="7">
        <f t="shared" si="1"/>
        <v>8.9261657177132918E-6</v>
      </c>
      <c r="R11" s="3">
        <v>9</v>
      </c>
      <c r="S11" s="7">
        <f t="shared" ca="1" si="0"/>
        <v>57.4078827025305</v>
      </c>
    </row>
    <row r="12" spans="2:19" x14ac:dyDescent="0.35">
      <c r="E12" s="3">
        <v>10</v>
      </c>
      <c r="F12" s="7">
        <f t="shared" si="1"/>
        <v>1.3383022576488536E-5</v>
      </c>
      <c r="R12" s="3">
        <v>10</v>
      </c>
      <c r="S12" s="7">
        <f t="shared" ca="1" si="0"/>
        <v>49.136411612214182</v>
      </c>
    </row>
    <row r="13" spans="2:19" x14ac:dyDescent="0.35">
      <c r="E13" s="3">
        <v>11</v>
      </c>
      <c r="F13" s="7">
        <f t="shared" si="1"/>
        <v>1.9865547139277272E-5</v>
      </c>
      <c r="R13" s="3">
        <v>11</v>
      </c>
      <c r="S13" s="7">
        <f t="shared" ca="1" si="0"/>
        <v>56.989527119023322</v>
      </c>
    </row>
    <row r="14" spans="2:19" x14ac:dyDescent="0.35">
      <c r="E14" s="3">
        <v>12</v>
      </c>
      <c r="F14" s="7">
        <f t="shared" si="1"/>
        <v>2.9194692579146026E-5</v>
      </c>
      <c r="R14" s="3">
        <v>12</v>
      </c>
      <c r="S14" s="7">
        <f t="shared" ca="1" si="0"/>
        <v>39.044278104802395</v>
      </c>
    </row>
    <row r="15" spans="2:19" x14ac:dyDescent="0.35">
      <c r="E15" s="3">
        <v>13</v>
      </c>
      <c r="F15" s="7">
        <f t="shared" si="1"/>
        <v>4.2478027055075142E-5</v>
      </c>
      <c r="R15" s="3">
        <v>13</v>
      </c>
      <c r="S15" s="7">
        <f t="shared" ca="1" si="0"/>
        <v>61.968519391846826</v>
      </c>
    </row>
    <row r="16" spans="2:19" x14ac:dyDescent="0.35">
      <c r="E16" s="3">
        <v>14</v>
      </c>
      <c r="F16" s="7">
        <f t="shared" si="1"/>
        <v>6.1190193011377187E-5</v>
      </c>
      <c r="R16" s="3">
        <v>14</v>
      </c>
      <c r="S16" s="7">
        <f t="shared" ca="1" si="0"/>
        <v>72.295722088982586</v>
      </c>
    </row>
    <row r="17" spans="5:19" x14ac:dyDescent="0.35">
      <c r="E17" s="3">
        <v>15</v>
      </c>
      <c r="F17" s="7">
        <f t="shared" si="1"/>
        <v>8.726826950457601E-5</v>
      </c>
      <c r="R17" s="3">
        <v>15</v>
      </c>
      <c r="S17" s="7">
        <f t="shared" ca="1" si="0"/>
        <v>54.462587636347521</v>
      </c>
    </row>
    <row r="18" spans="5:19" x14ac:dyDescent="0.35">
      <c r="E18" s="3">
        <v>16</v>
      </c>
      <c r="F18" s="7">
        <f t="shared" si="1"/>
        <v>1.2322191684730198E-4</v>
      </c>
      <c r="R18" s="3">
        <v>16</v>
      </c>
      <c r="S18" s="7">
        <f t="shared" ca="1" si="0"/>
        <v>52.577703949567827</v>
      </c>
    </row>
    <row r="19" spans="5:19" x14ac:dyDescent="0.35">
      <c r="E19" s="3">
        <v>17</v>
      </c>
      <c r="F19" s="7">
        <f t="shared" si="1"/>
        <v>1.722568939053681E-4</v>
      </c>
      <c r="R19" s="3">
        <v>17</v>
      </c>
      <c r="S19" s="7">
        <f t="shared" ca="1" si="0"/>
        <v>42.145891335327875</v>
      </c>
    </row>
    <row r="20" spans="5:19" x14ac:dyDescent="0.35">
      <c r="E20" s="3">
        <v>18</v>
      </c>
      <c r="F20" s="7">
        <f t="shared" si="1"/>
        <v>2.3840882014648405E-4</v>
      </c>
      <c r="R20" s="3">
        <v>18</v>
      </c>
      <c r="S20" s="7">
        <f t="shared" ca="1" si="0"/>
        <v>48.395068543792434</v>
      </c>
    </row>
    <row r="21" spans="5:19" x14ac:dyDescent="0.35">
      <c r="E21" s="3">
        <v>19</v>
      </c>
      <c r="F21" s="7">
        <f t="shared" si="1"/>
        <v>3.2668190561999186E-4</v>
      </c>
      <c r="R21" s="3">
        <v>19</v>
      </c>
      <c r="S21" s="7">
        <f t="shared" ca="1" si="0"/>
        <v>47.088668109626639</v>
      </c>
    </row>
    <row r="22" spans="5:19" x14ac:dyDescent="0.35">
      <c r="E22" s="3">
        <v>20</v>
      </c>
      <c r="F22" s="7">
        <f t="shared" si="1"/>
        <v>4.4318484119380076E-4</v>
      </c>
      <c r="R22" s="3">
        <v>20</v>
      </c>
      <c r="S22" s="7">
        <f t="shared" ca="1" si="0"/>
        <v>49.4388176487845</v>
      </c>
    </row>
    <row r="23" spans="5:19" x14ac:dyDescent="0.35">
      <c r="E23" s="3">
        <v>21</v>
      </c>
      <c r="F23" s="7">
        <f t="shared" si="1"/>
        <v>5.9525324197758534E-4</v>
      </c>
      <c r="R23" s="3">
        <v>21</v>
      </c>
      <c r="S23" s="7">
        <f t="shared" ca="1" si="0"/>
        <v>37.968949013629413</v>
      </c>
    </row>
    <row r="24" spans="5:19" x14ac:dyDescent="0.35">
      <c r="E24" s="3">
        <v>22</v>
      </c>
      <c r="F24" s="7">
        <f t="shared" si="1"/>
        <v>7.9154515829799694E-4</v>
      </c>
      <c r="R24" s="3">
        <v>22</v>
      </c>
      <c r="S24" s="7">
        <f t="shared" ca="1" si="0"/>
        <v>55.538044683617102</v>
      </c>
    </row>
    <row r="25" spans="5:19" x14ac:dyDescent="0.35">
      <c r="E25" s="3">
        <v>23</v>
      </c>
      <c r="F25" s="7">
        <f t="shared" si="1"/>
        <v>1.0420934814422591E-3</v>
      </c>
      <c r="R25" s="3">
        <v>23</v>
      </c>
      <c r="S25" s="7">
        <f t="shared" ca="1" si="0"/>
        <v>73.36159133886153</v>
      </c>
    </row>
    <row r="26" spans="5:19" x14ac:dyDescent="0.35">
      <c r="E26" s="3">
        <v>24</v>
      </c>
      <c r="F26" s="7">
        <f t="shared" si="1"/>
        <v>1.3582969233685612E-3</v>
      </c>
      <c r="R26" s="3">
        <v>24</v>
      </c>
      <c r="S26" s="7">
        <f t="shared" ca="1" si="0"/>
        <v>27.098628965953694</v>
      </c>
    </row>
    <row r="27" spans="5:19" x14ac:dyDescent="0.35">
      <c r="E27" s="3">
        <v>25</v>
      </c>
      <c r="F27" s="7">
        <f t="shared" si="1"/>
        <v>1.752830049356854E-3</v>
      </c>
      <c r="R27" s="3">
        <v>25</v>
      </c>
      <c r="S27" s="7">
        <f t="shared" ca="1" si="0"/>
        <v>65.047227221135316</v>
      </c>
    </row>
    <row r="28" spans="5:19" x14ac:dyDescent="0.35">
      <c r="E28" s="3">
        <v>26</v>
      </c>
      <c r="F28" s="7">
        <f t="shared" si="1"/>
        <v>2.2394530294842902E-3</v>
      </c>
      <c r="R28" s="3">
        <v>26</v>
      </c>
      <c r="S28" s="7">
        <f t="shared" ca="1" si="0"/>
        <v>32.716876687394588</v>
      </c>
    </row>
    <row r="29" spans="5:19" x14ac:dyDescent="0.35">
      <c r="E29" s="3">
        <v>27</v>
      </c>
      <c r="F29" s="7">
        <f t="shared" si="1"/>
        <v>2.8327037741601186E-3</v>
      </c>
      <c r="R29" s="3">
        <v>27</v>
      </c>
      <c r="S29" s="7">
        <f t="shared" ca="1" si="0"/>
        <v>64.030162908322779</v>
      </c>
    </row>
    <row r="30" spans="5:19" x14ac:dyDescent="0.35">
      <c r="E30" s="3">
        <v>28</v>
      </c>
      <c r="F30" s="7">
        <f t="shared" si="1"/>
        <v>3.5474592846231421E-3</v>
      </c>
      <c r="R30" s="3">
        <v>28</v>
      </c>
      <c r="S30" s="7">
        <f t="shared" ca="1" si="0"/>
        <v>55.270745041374283</v>
      </c>
    </row>
    <row r="31" spans="5:19" x14ac:dyDescent="0.35">
      <c r="E31" s="3">
        <v>29</v>
      </c>
      <c r="F31" s="7">
        <f t="shared" si="1"/>
        <v>4.3983595980427196E-3</v>
      </c>
      <c r="R31" s="3">
        <v>29</v>
      </c>
      <c r="S31" s="7">
        <f t="shared" ca="1" si="0"/>
        <v>64.933639424243978</v>
      </c>
    </row>
    <row r="32" spans="5:19" x14ac:dyDescent="0.35">
      <c r="E32" s="3">
        <v>30</v>
      </c>
      <c r="F32" s="7">
        <f t="shared" si="1"/>
        <v>5.3990966513188061E-3</v>
      </c>
      <c r="R32" s="3">
        <v>30</v>
      </c>
      <c r="S32" s="7">
        <f t="shared" ca="1" si="0"/>
        <v>55.889938154533368</v>
      </c>
    </row>
    <row r="33" spans="5:19" x14ac:dyDescent="0.35">
      <c r="E33" s="3">
        <v>31</v>
      </c>
      <c r="F33" s="7">
        <f t="shared" si="1"/>
        <v>6.5615814774676604E-3</v>
      </c>
      <c r="R33" s="3">
        <v>31</v>
      </c>
      <c r="S33" s="7">
        <f t="shared" ca="1" si="0"/>
        <v>48.893723145445108</v>
      </c>
    </row>
    <row r="34" spans="5:19" x14ac:dyDescent="0.35">
      <c r="E34" s="3">
        <v>32</v>
      </c>
      <c r="F34" s="7">
        <f t="shared" si="1"/>
        <v>7.8950158300894139E-3</v>
      </c>
      <c r="R34" s="3">
        <v>32</v>
      </c>
      <c r="S34" s="7">
        <f t="shared" ca="1" si="0"/>
        <v>34.553072761875804</v>
      </c>
    </row>
    <row r="35" spans="5:19" x14ac:dyDescent="0.35">
      <c r="E35" s="3">
        <v>33</v>
      </c>
      <c r="F35" s="7">
        <f t="shared" si="1"/>
        <v>9.4049077376886937E-3</v>
      </c>
      <c r="R35" s="3">
        <v>33</v>
      </c>
      <c r="S35" s="7">
        <f t="shared" ref="S35:S66" ca="1" si="2">NORMINV(RAND(),C$3,C$4)</f>
        <v>56.899662252584065</v>
      </c>
    </row>
    <row r="36" spans="5:19" x14ac:dyDescent="0.35">
      <c r="E36" s="3">
        <v>34</v>
      </c>
      <c r="F36" s="7">
        <f t="shared" si="1"/>
        <v>1.1092083467945555E-2</v>
      </c>
      <c r="R36" s="3">
        <v>34</v>
      </c>
      <c r="S36" s="7">
        <f t="shared" ca="1" si="2"/>
        <v>45.322144677920676</v>
      </c>
    </row>
    <row r="37" spans="5:19" x14ac:dyDescent="0.35">
      <c r="E37" s="3">
        <v>35</v>
      </c>
      <c r="F37" s="7">
        <f t="shared" si="1"/>
        <v>1.2951759566589173E-2</v>
      </c>
      <c r="R37" s="3">
        <v>35</v>
      </c>
      <c r="S37" s="7">
        <f t="shared" ca="1" si="2"/>
        <v>41.984925354913713</v>
      </c>
    </row>
    <row r="38" spans="5:19" x14ac:dyDescent="0.35">
      <c r="E38" s="3">
        <v>36</v>
      </c>
      <c r="F38" s="7">
        <f t="shared" si="1"/>
        <v>1.4972746563574486E-2</v>
      </c>
      <c r="R38" s="3">
        <v>36</v>
      </c>
      <c r="S38" s="7">
        <f t="shared" ca="1" si="2"/>
        <v>49.494140088454067</v>
      </c>
    </row>
    <row r="39" spans="5:19" x14ac:dyDescent="0.35">
      <c r="E39" s="3">
        <v>37</v>
      </c>
      <c r="F39" s="7">
        <f t="shared" si="1"/>
        <v>1.7136859204780735E-2</v>
      </c>
      <c r="R39" s="3">
        <v>37</v>
      </c>
      <c r="S39" s="7">
        <f t="shared" ca="1" si="2"/>
        <v>39.736151466869131</v>
      </c>
    </row>
    <row r="40" spans="5:19" x14ac:dyDescent="0.35">
      <c r="E40" s="3">
        <v>38</v>
      </c>
      <c r="F40" s="7">
        <f t="shared" si="1"/>
        <v>1.9418605498321296E-2</v>
      </c>
      <c r="R40" s="3">
        <v>38</v>
      </c>
      <c r="S40" s="7">
        <f t="shared" ca="1" si="2"/>
        <v>58.85310366570895</v>
      </c>
    </row>
    <row r="41" spans="5:19" x14ac:dyDescent="0.35">
      <c r="E41" s="3">
        <v>39</v>
      </c>
      <c r="F41" s="7">
        <f t="shared" si="1"/>
        <v>2.1785217703255054E-2</v>
      </c>
      <c r="R41" s="3">
        <v>39</v>
      </c>
      <c r="S41" s="7">
        <f t="shared" ca="1" si="2"/>
        <v>33.728031561820877</v>
      </c>
    </row>
    <row r="42" spans="5:19" x14ac:dyDescent="0.35">
      <c r="E42" s="3">
        <v>40</v>
      </c>
      <c r="F42" s="7">
        <f t="shared" si="1"/>
        <v>2.4197072451914336E-2</v>
      </c>
      <c r="R42" s="3">
        <v>40</v>
      </c>
      <c r="S42" s="7">
        <f t="shared" ca="1" si="2"/>
        <v>46.380185428003593</v>
      </c>
    </row>
    <row r="43" spans="5:19" x14ac:dyDescent="0.35">
      <c r="E43" s="3">
        <v>41</v>
      </c>
      <c r="F43" s="7">
        <f t="shared" si="1"/>
        <v>2.6608524989875482E-2</v>
      </c>
      <c r="R43" s="3">
        <v>41</v>
      </c>
      <c r="S43" s="7">
        <f t="shared" ca="1" si="2"/>
        <v>73.790702539855133</v>
      </c>
    </row>
    <row r="44" spans="5:19" x14ac:dyDescent="0.35">
      <c r="E44" s="3">
        <v>42</v>
      </c>
      <c r="F44" s="7">
        <f t="shared" si="1"/>
        <v>2.8969155276148274E-2</v>
      </c>
      <c r="R44" s="3">
        <v>42</v>
      </c>
      <c r="S44" s="7">
        <f t="shared" ca="1" si="2"/>
        <v>35.027174930000193</v>
      </c>
    </row>
    <row r="45" spans="5:19" x14ac:dyDescent="0.35">
      <c r="E45" s="3">
        <v>43</v>
      </c>
      <c r="F45" s="7">
        <f t="shared" si="1"/>
        <v>3.1225393336676129E-2</v>
      </c>
      <c r="R45" s="3">
        <v>43</v>
      </c>
      <c r="S45" s="7">
        <f t="shared" ca="1" si="2"/>
        <v>62.546910459153054</v>
      </c>
    </row>
    <row r="46" spans="5:19" x14ac:dyDescent="0.35">
      <c r="E46" s="3">
        <v>44</v>
      </c>
      <c r="F46" s="7">
        <f t="shared" si="1"/>
        <v>3.3322460289179963E-2</v>
      </c>
      <c r="R46" s="3">
        <v>44</v>
      </c>
      <c r="S46" s="7">
        <f t="shared" ca="1" si="2"/>
        <v>33.430769975143591</v>
      </c>
    </row>
    <row r="47" spans="5:19" x14ac:dyDescent="0.35">
      <c r="E47" s="3">
        <v>45</v>
      </c>
      <c r="F47" s="7">
        <f t="shared" si="1"/>
        <v>3.5206532676429952E-2</v>
      </c>
      <c r="R47" s="3">
        <v>45</v>
      </c>
      <c r="S47" s="7">
        <f t="shared" ca="1" si="2"/>
        <v>49.360704504512796</v>
      </c>
    </row>
    <row r="48" spans="5:19" x14ac:dyDescent="0.35">
      <c r="E48" s="3">
        <v>46</v>
      </c>
      <c r="F48" s="7">
        <f t="shared" si="1"/>
        <v>3.6827014030332332E-2</v>
      </c>
      <c r="R48" s="3">
        <v>46</v>
      </c>
      <c r="S48" s="7">
        <f t="shared" ca="1" si="2"/>
        <v>57.620005272637918</v>
      </c>
    </row>
    <row r="49" spans="5:19" x14ac:dyDescent="0.35">
      <c r="E49" s="3">
        <v>47</v>
      </c>
      <c r="F49" s="7">
        <f t="shared" si="1"/>
        <v>3.8138781546052408E-2</v>
      </c>
      <c r="R49" s="3">
        <v>47</v>
      </c>
      <c r="S49" s="7">
        <f t="shared" ca="1" si="2"/>
        <v>56.275707851804185</v>
      </c>
    </row>
    <row r="50" spans="5:19" x14ac:dyDescent="0.35">
      <c r="E50" s="3">
        <v>48</v>
      </c>
      <c r="F50" s="7">
        <f t="shared" si="1"/>
        <v>3.9104269397545591E-2</v>
      </c>
      <c r="R50" s="3">
        <v>48</v>
      </c>
      <c r="S50" s="7">
        <f t="shared" ca="1" si="2"/>
        <v>61.57540144240491</v>
      </c>
    </row>
    <row r="51" spans="5:19" x14ac:dyDescent="0.35">
      <c r="E51" s="3">
        <v>49</v>
      </c>
      <c r="F51" s="7">
        <f t="shared" si="1"/>
        <v>3.9695254747701178E-2</v>
      </c>
      <c r="R51" s="3">
        <v>49</v>
      </c>
      <c r="S51" s="7">
        <f t="shared" ca="1" si="2"/>
        <v>44.201788657960456</v>
      </c>
    </row>
    <row r="52" spans="5:19" x14ac:dyDescent="0.35">
      <c r="E52" s="3">
        <v>50</v>
      </c>
      <c r="F52" s="7">
        <f t="shared" si="1"/>
        <v>3.9894228040143274E-2</v>
      </c>
      <c r="R52" s="3">
        <v>50</v>
      </c>
      <c r="S52" s="7">
        <f t="shared" ca="1" si="2"/>
        <v>37.136160458032833</v>
      </c>
    </row>
    <row r="53" spans="5:19" x14ac:dyDescent="0.35">
      <c r="E53" s="3">
        <v>51</v>
      </c>
      <c r="F53" s="7">
        <f t="shared" si="1"/>
        <v>3.9695254747701178E-2</v>
      </c>
      <c r="R53" s="3">
        <v>51</v>
      </c>
      <c r="S53" s="7">
        <f t="shared" ca="1" si="2"/>
        <v>36.358038322170714</v>
      </c>
    </row>
    <row r="54" spans="5:19" x14ac:dyDescent="0.35">
      <c r="E54" s="3">
        <v>52</v>
      </c>
      <c r="F54" s="7">
        <f t="shared" si="1"/>
        <v>3.9104269397545591E-2</v>
      </c>
      <c r="R54" s="3">
        <v>52</v>
      </c>
      <c r="S54" s="7">
        <f t="shared" ca="1" si="2"/>
        <v>64.580642069570914</v>
      </c>
    </row>
    <row r="55" spans="5:19" x14ac:dyDescent="0.35">
      <c r="E55" s="3">
        <v>53</v>
      </c>
      <c r="F55" s="7">
        <f t="shared" si="1"/>
        <v>3.8138781546052408E-2</v>
      </c>
      <c r="R55" s="3">
        <v>53</v>
      </c>
      <c r="S55" s="7">
        <f t="shared" ca="1" si="2"/>
        <v>43.313598645063585</v>
      </c>
    </row>
    <row r="56" spans="5:19" x14ac:dyDescent="0.35">
      <c r="E56" s="3">
        <v>54</v>
      </c>
      <c r="F56" s="7">
        <f t="shared" si="1"/>
        <v>3.6827014030332332E-2</v>
      </c>
      <c r="R56" s="3">
        <v>54</v>
      </c>
      <c r="S56" s="7">
        <f t="shared" ca="1" si="2"/>
        <v>48.386242765611307</v>
      </c>
    </row>
    <row r="57" spans="5:19" x14ac:dyDescent="0.35">
      <c r="E57" s="3">
        <v>55</v>
      </c>
      <c r="F57" s="7">
        <f t="shared" si="1"/>
        <v>3.5206532676429952E-2</v>
      </c>
      <c r="R57" s="3">
        <v>55</v>
      </c>
      <c r="S57" s="7">
        <f t="shared" ca="1" si="2"/>
        <v>58.46557380343701</v>
      </c>
    </row>
    <row r="58" spans="5:19" x14ac:dyDescent="0.35">
      <c r="E58" s="3">
        <v>56</v>
      </c>
      <c r="F58" s="7">
        <f t="shared" si="1"/>
        <v>3.3322460289179963E-2</v>
      </c>
      <c r="R58" s="3">
        <v>56</v>
      </c>
      <c r="S58" s="7">
        <f t="shared" ca="1" si="2"/>
        <v>47.333305076614572</v>
      </c>
    </row>
    <row r="59" spans="5:19" x14ac:dyDescent="0.35">
      <c r="E59" s="3">
        <v>57</v>
      </c>
      <c r="F59" s="7">
        <f t="shared" si="1"/>
        <v>3.1225393336676129E-2</v>
      </c>
      <c r="R59" s="3">
        <v>57</v>
      </c>
      <c r="S59" s="7">
        <f t="shared" ca="1" si="2"/>
        <v>50.466410148355635</v>
      </c>
    </row>
    <row r="60" spans="5:19" x14ac:dyDescent="0.35">
      <c r="E60" s="3">
        <v>58</v>
      </c>
      <c r="F60" s="7">
        <f t="shared" si="1"/>
        <v>2.8969155276148274E-2</v>
      </c>
      <c r="R60" s="3">
        <v>58</v>
      </c>
      <c r="S60" s="7">
        <f t="shared" ca="1" si="2"/>
        <v>43.121979912332364</v>
      </c>
    </row>
    <row r="61" spans="5:19" x14ac:dyDescent="0.35">
      <c r="E61" s="3">
        <v>59</v>
      </c>
      <c r="F61" s="7">
        <f t="shared" si="1"/>
        <v>2.6608524989875482E-2</v>
      </c>
      <c r="R61" s="3">
        <v>59</v>
      </c>
      <c r="S61" s="7">
        <f t="shared" ca="1" si="2"/>
        <v>60.94779413177794</v>
      </c>
    </row>
    <row r="62" spans="5:19" x14ac:dyDescent="0.35">
      <c r="E62" s="3">
        <v>60</v>
      </c>
      <c r="F62" s="7">
        <f t="shared" si="1"/>
        <v>2.4197072451914336E-2</v>
      </c>
      <c r="R62" s="3">
        <v>60</v>
      </c>
      <c r="S62" s="7">
        <f t="shared" ca="1" si="2"/>
        <v>54.741103664017544</v>
      </c>
    </row>
    <row r="63" spans="5:19" x14ac:dyDescent="0.35">
      <c r="E63" s="3">
        <v>61</v>
      </c>
      <c r="F63" s="7">
        <f t="shared" si="1"/>
        <v>2.1785217703255054E-2</v>
      </c>
      <c r="R63" s="3">
        <v>61</v>
      </c>
      <c r="S63" s="7">
        <f t="shared" ca="1" si="2"/>
        <v>37.736010469653515</v>
      </c>
    </row>
    <row r="64" spans="5:19" x14ac:dyDescent="0.35">
      <c r="E64" s="3">
        <v>62</v>
      </c>
      <c r="F64" s="7">
        <f t="shared" si="1"/>
        <v>1.9418605498321296E-2</v>
      </c>
      <c r="R64" s="3">
        <v>62</v>
      </c>
      <c r="S64" s="7">
        <f t="shared" ca="1" si="2"/>
        <v>58.468169343985629</v>
      </c>
    </row>
    <row r="65" spans="5:19" x14ac:dyDescent="0.35">
      <c r="E65" s="3">
        <v>63</v>
      </c>
      <c r="F65" s="7">
        <f t="shared" si="1"/>
        <v>1.7136859204780735E-2</v>
      </c>
      <c r="R65" s="3">
        <v>63</v>
      </c>
      <c r="S65" s="7">
        <f t="shared" ca="1" si="2"/>
        <v>23.327461438677055</v>
      </c>
    </row>
    <row r="66" spans="5:19" x14ac:dyDescent="0.35">
      <c r="E66" s="3">
        <v>64</v>
      </c>
      <c r="F66" s="7">
        <f t="shared" si="1"/>
        <v>1.4972746563574486E-2</v>
      </c>
      <c r="R66" s="3">
        <v>64</v>
      </c>
      <c r="S66" s="7">
        <f t="shared" ca="1" si="2"/>
        <v>52.595901132783467</v>
      </c>
    </row>
    <row r="67" spans="5:19" x14ac:dyDescent="0.35">
      <c r="E67" s="3">
        <v>65</v>
      </c>
      <c r="F67" s="7">
        <f t="shared" si="1"/>
        <v>1.2951759566589173E-2</v>
      </c>
      <c r="R67" s="3">
        <v>65</v>
      </c>
      <c r="S67" s="7">
        <f t="shared" ref="S67:S102" ca="1" si="3">NORMINV(RAND(),C$3,C$4)</f>
        <v>55.183131763086344</v>
      </c>
    </row>
    <row r="68" spans="5:19" x14ac:dyDescent="0.35">
      <c r="E68" s="3">
        <v>66</v>
      </c>
      <c r="F68" s="7">
        <f t="shared" ref="F68:F102" si="4">_xlfn.NORM.DIST(E68,C$3,C$4,FALSE)</f>
        <v>1.1092083467945555E-2</v>
      </c>
      <c r="R68" s="3">
        <v>66</v>
      </c>
      <c r="S68" s="7">
        <f t="shared" ca="1" si="3"/>
        <v>48.735785973306861</v>
      </c>
    </row>
    <row r="69" spans="5:19" x14ac:dyDescent="0.35">
      <c r="E69" s="3">
        <v>67</v>
      </c>
      <c r="F69" s="7">
        <f t="shared" si="4"/>
        <v>9.4049077376886937E-3</v>
      </c>
      <c r="R69" s="3">
        <v>67</v>
      </c>
      <c r="S69" s="7">
        <f t="shared" ca="1" si="3"/>
        <v>50.153293613541891</v>
      </c>
    </row>
    <row r="70" spans="5:19" x14ac:dyDescent="0.35">
      <c r="E70" s="3">
        <v>68</v>
      </c>
      <c r="F70" s="7">
        <f t="shared" si="4"/>
        <v>7.8950158300894139E-3</v>
      </c>
      <c r="R70" s="3">
        <v>68</v>
      </c>
      <c r="S70" s="7">
        <f t="shared" ca="1" si="3"/>
        <v>64.705698536388141</v>
      </c>
    </row>
    <row r="71" spans="5:19" x14ac:dyDescent="0.35">
      <c r="E71" s="3">
        <v>69</v>
      </c>
      <c r="F71" s="7">
        <f t="shared" si="4"/>
        <v>6.5615814774676604E-3</v>
      </c>
      <c r="R71" s="3">
        <v>69</v>
      </c>
      <c r="S71" s="7">
        <f t="shared" ca="1" si="3"/>
        <v>48.683995641942317</v>
      </c>
    </row>
    <row r="72" spans="5:19" x14ac:dyDescent="0.35">
      <c r="E72" s="3">
        <v>70</v>
      </c>
      <c r="F72" s="7">
        <f t="shared" si="4"/>
        <v>5.3990966513188061E-3</v>
      </c>
      <c r="R72" s="3">
        <v>70</v>
      </c>
      <c r="S72" s="7">
        <f t="shared" ca="1" si="3"/>
        <v>63.487721303219033</v>
      </c>
    </row>
    <row r="73" spans="5:19" x14ac:dyDescent="0.35">
      <c r="E73" s="3">
        <v>71</v>
      </c>
      <c r="F73" s="7">
        <f t="shared" si="4"/>
        <v>4.3983595980427196E-3</v>
      </c>
      <c r="R73" s="3">
        <v>71</v>
      </c>
      <c r="S73" s="7">
        <f t="shared" ca="1" si="3"/>
        <v>40.103405673783477</v>
      </c>
    </row>
    <row r="74" spans="5:19" x14ac:dyDescent="0.35">
      <c r="E74" s="3">
        <v>72</v>
      </c>
      <c r="F74" s="7">
        <f t="shared" si="4"/>
        <v>3.5474592846231421E-3</v>
      </c>
      <c r="R74" s="3">
        <v>72</v>
      </c>
      <c r="S74" s="7">
        <f t="shared" ca="1" si="3"/>
        <v>50.020525899123257</v>
      </c>
    </row>
    <row r="75" spans="5:19" x14ac:dyDescent="0.35">
      <c r="E75" s="3">
        <v>73</v>
      </c>
      <c r="F75" s="7">
        <f t="shared" si="4"/>
        <v>2.8327037741601186E-3</v>
      </c>
      <c r="R75" s="3">
        <v>73</v>
      </c>
      <c r="S75" s="7">
        <f t="shared" ca="1" si="3"/>
        <v>52.973128205178554</v>
      </c>
    </row>
    <row r="76" spans="5:19" x14ac:dyDescent="0.35">
      <c r="E76" s="3">
        <v>74</v>
      </c>
      <c r="F76" s="7">
        <f t="shared" si="4"/>
        <v>2.2394530294842902E-3</v>
      </c>
      <c r="R76" s="3">
        <v>74</v>
      </c>
      <c r="S76" s="7">
        <f t="shared" ca="1" si="3"/>
        <v>42.266280007223877</v>
      </c>
    </row>
    <row r="77" spans="5:19" x14ac:dyDescent="0.35">
      <c r="E77" s="3">
        <v>75</v>
      </c>
      <c r="F77" s="7">
        <f t="shared" si="4"/>
        <v>1.752830049356854E-3</v>
      </c>
      <c r="R77" s="3">
        <v>75</v>
      </c>
      <c r="S77" s="7">
        <f t="shared" ca="1" si="3"/>
        <v>51.349188146498861</v>
      </c>
    </row>
    <row r="78" spans="5:19" x14ac:dyDescent="0.35">
      <c r="E78" s="3">
        <v>76</v>
      </c>
      <c r="F78" s="7">
        <f t="shared" si="4"/>
        <v>1.3582969233685612E-3</v>
      </c>
      <c r="R78" s="3">
        <v>76</v>
      </c>
      <c r="S78" s="7">
        <f t="shared" ca="1" si="3"/>
        <v>40.196982245668394</v>
      </c>
    </row>
    <row r="79" spans="5:19" x14ac:dyDescent="0.35">
      <c r="E79" s="3">
        <v>77</v>
      </c>
      <c r="F79" s="7">
        <f t="shared" si="4"/>
        <v>1.0420934814422591E-3</v>
      </c>
      <c r="R79" s="3">
        <v>77</v>
      </c>
      <c r="S79" s="7">
        <f t="shared" ca="1" si="3"/>
        <v>41.419005691569083</v>
      </c>
    </row>
    <row r="80" spans="5:19" x14ac:dyDescent="0.35">
      <c r="E80" s="3">
        <v>78</v>
      </c>
      <c r="F80" s="7">
        <f t="shared" si="4"/>
        <v>7.9154515829799694E-4</v>
      </c>
      <c r="R80" s="3">
        <v>78</v>
      </c>
      <c r="S80" s="7">
        <f t="shared" ca="1" si="3"/>
        <v>55.947232002271846</v>
      </c>
    </row>
    <row r="81" spans="5:19" x14ac:dyDescent="0.35">
      <c r="E81" s="3">
        <v>79</v>
      </c>
      <c r="F81" s="7">
        <f t="shared" si="4"/>
        <v>5.9525324197758534E-4</v>
      </c>
      <c r="R81" s="3">
        <v>79</v>
      </c>
      <c r="S81" s="7">
        <f t="shared" ca="1" si="3"/>
        <v>54.008747718945472</v>
      </c>
    </row>
    <row r="82" spans="5:19" x14ac:dyDescent="0.35">
      <c r="E82" s="3">
        <v>80</v>
      </c>
      <c r="F82" s="7">
        <f t="shared" si="4"/>
        <v>4.4318484119380076E-4</v>
      </c>
      <c r="R82" s="3">
        <v>80</v>
      </c>
      <c r="S82" s="7">
        <f t="shared" ca="1" si="3"/>
        <v>48.449363939252862</v>
      </c>
    </row>
    <row r="83" spans="5:19" x14ac:dyDescent="0.35">
      <c r="E83" s="3">
        <v>81</v>
      </c>
      <c r="F83" s="7">
        <f t="shared" si="4"/>
        <v>3.2668190561999186E-4</v>
      </c>
      <c r="R83" s="3">
        <v>81</v>
      </c>
      <c r="S83" s="7">
        <f t="shared" ca="1" si="3"/>
        <v>41.945508251621781</v>
      </c>
    </row>
    <row r="84" spans="5:19" x14ac:dyDescent="0.35">
      <c r="E84" s="3">
        <v>82</v>
      </c>
      <c r="F84" s="7">
        <f t="shared" si="4"/>
        <v>2.3840882014648405E-4</v>
      </c>
      <c r="R84" s="3">
        <v>82</v>
      </c>
      <c r="S84" s="7">
        <f t="shared" ca="1" si="3"/>
        <v>30.701530803863175</v>
      </c>
    </row>
    <row r="85" spans="5:19" x14ac:dyDescent="0.35">
      <c r="E85" s="3">
        <v>83</v>
      </c>
      <c r="F85" s="7">
        <f t="shared" si="4"/>
        <v>1.722568939053681E-4</v>
      </c>
      <c r="R85" s="3">
        <v>83</v>
      </c>
      <c r="S85" s="7">
        <f t="shared" ca="1" si="3"/>
        <v>35.122478618714489</v>
      </c>
    </row>
    <row r="86" spans="5:19" x14ac:dyDescent="0.35">
      <c r="E86" s="3">
        <v>84</v>
      </c>
      <c r="F86" s="7">
        <f t="shared" si="4"/>
        <v>1.2322191684730198E-4</v>
      </c>
      <c r="R86" s="3">
        <v>84</v>
      </c>
      <c r="S86" s="7">
        <f t="shared" ca="1" si="3"/>
        <v>39.898166716295854</v>
      </c>
    </row>
    <row r="87" spans="5:19" x14ac:dyDescent="0.35">
      <c r="E87" s="3">
        <v>85</v>
      </c>
      <c r="F87" s="7">
        <f t="shared" si="4"/>
        <v>8.726826950457601E-5</v>
      </c>
      <c r="R87" s="3">
        <v>85</v>
      </c>
      <c r="S87" s="7">
        <f t="shared" ca="1" si="3"/>
        <v>58.080752953982383</v>
      </c>
    </row>
    <row r="88" spans="5:19" x14ac:dyDescent="0.35">
      <c r="E88" s="3">
        <v>86</v>
      </c>
      <c r="F88" s="7">
        <f t="shared" si="4"/>
        <v>6.1190193011377187E-5</v>
      </c>
      <c r="R88" s="3">
        <v>86</v>
      </c>
      <c r="S88" s="7">
        <f t="shared" ca="1" si="3"/>
        <v>41.394633049130846</v>
      </c>
    </row>
    <row r="89" spans="5:19" x14ac:dyDescent="0.35">
      <c r="E89" s="3">
        <v>87</v>
      </c>
      <c r="F89" s="7">
        <f t="shared" si="4"/>
        <v>4.2478027055075142E-5</v>
      </c>
      <c r="R89" s="3">
        <v>87</v>
      </c>
      <c r="S89" s="7">
        <f t="shared" ca="1" si="3"/>
        <v>64.542788401763289</v>
      </c>
    </row>
    <row r="90" spans="5:19" x14ac:dyDescent="0.35">
      <c r="E90" s="3">
        <v>88</v>
      </c>
      <c r="F90" s="7">
        <f t="shared" si="4"/>
        <v>2.9194692579146026E-5</v>
      </c>
      <c r="R90" s="3">
        <v>88</v>
      </c>
      <c r="S90" s="7">
        <f t="shared" ca="1" si="3"/>
        <v>64.224915609393577</v>
      </c>
    </row>
    <row r="91" spans="5:19" x14ac:dyDescent="0.35">
      <c r="E91" s="3">
        <v>89</v>
      </c>
      <c r="F91" s="7">
        <f t="shared" si="4"/>
        <v>1.9865547139277272E-5</v>
      </c>
      <c r="R91" s="3">
        <v>89</v>
      </c>
      <c r="S91" s="7">
        <f t="shared" ca="1" si="3"/>
        <v>58.982568758550428</v>
      </c>
    </row>
    <row r="92" spans="5:19" x14ac:dyDescent="0.35">
      <c r="E92" s="3">
        <v>90</v>
      </c>
      <c r="F92" s="7">
        <f t="shared" si="4"/>
        <v>1.3383022576488536E-5</v>
      </c>
      <c r="R92" s="3">
        <v>90</v>
      </c>
      <c r="S92" s="7">
        <f t="shared" ca="1" si="3"/>
        <v>50.463490703689956</v>
      </c>
    </row>
    <row r="93" spans="5:19" x14ac:dyDescent="0.35">
      <c r="E93" s="3">
        <v>91</v>
      </c>
      <c r="F93" s="7">
        <f t="shared" si="4"/>
        <v>8.9261657177132918E-6</v>
      </c>
      <c r="R93" s="3">
        <v>91</v>
      </c>
      <c r="S93" s="7">
        <f t="shared" ca="1" si="3"/>
        <v>55.793279169702458</v>
      </c>
    </row>
    <row r="94" spans="5:19" x14ac:dyDescent="0.35">
      <c r="E94" s="3">
        <v>92</v>
      </c>
      <c r="F94" s="7">
        <f t="shared" si="4"/>
        <v>5.8943067756539858E-6</v>
      </c>
      <c r="R94" s="3">
        <v>92</v>
      </c>
      <c r="S94" s="7">
        <f t="shared" ca="1" si="3"/>
        <v>23.141303743940142</v>
      </c>
    </row>
    <row r="95" spans="5:19" x14ac:dyDescent="0.35">
      <c r="E95" s="3">
        <v>93</v>
      </c>
      <c r="F95" s="7">
        <f t="shared" si="4"/>
        <v>3.8535196742087128E-6</v>
      </c>
      <c r="R95" s="3">
        <v>93</v>
      </c>
      <c r="S95" s="7">
        <f t="shared" ca="1" si="3"/>
        <v>55.055974504462611</v>
      </c>
    </row>
    <row r="96" spans="5:19" x14ac:dyDescent="0.35">
      <c r="E96" s="3">
        <v>94</v>
      </c>
      <c r="F96" s="7">
        <f t="shared" si="4"/>
        <v>2.4942471290053532E-6</v>
      </c>
      <c r="R96" s="3">
        <v>94</v>
      </c>
      <c r="S96" s="7">
        <f t="shared" ca="1" si="3"/>
        <v>38.621683850985178</v>
      </c>
    </row>
    <row r="97" spans="5:19" x14ac:dyDescent="0.35">
      <c r="E97" s="3">
        <v>95</v>
      </c>
      <c r="F97" s="7">
        <f t="shared" si="4"/>
        <v>1.5983741106905478E-6</v>
      </c>
      <c r="R97" s="3">
        <v>95</v>
      </c>
      <c r="S97" s="7">
        <f t="shared" ca="1" si="3"/>
        <v>54.584312244050643</v>
      </c>
    </row>
    <row r="98" spans="5:19" x14ac:dyDescent="0.35">
      <c r="E98" s="3">
        <v>96</v>
      </c>
      <c r="F98" s="7">
        <f t="shared" si="4"/>
        <v>1.014085206548676E-6</v>
      </c>
      <c r="R98" s="3">
        <v>96</v>
      </c>
      <c r="S98" s="7">
        <f t="shared" ca="1" si="3"/>
        <v>44.901426996431546</v>
      </c>
    </row>
    <row r="99" spans="5:19" x14ac:dyDescent="0.35">
      <c r="E99" s="3">
        <v>97</v>
      </c>
      <c r="F99" s="7">
        <f t="shared" si="4"/>
        <v>6.3698251788670893E-7</v>
      </c>
      <c r="R99" s="3">
        <v>97</v>
      </c>
      <c r="S99" s="7">
        <f t="shared" ca="1" si="3"/>
        <v>70.535369749638789</v>
      </c>
    </row>
    <row r="100" spans="5:19" x14ac:dyDescent="0.35">
      <c r="E100" s="3">
        <v>98</v>
      </c>
      <c r="F100" s="7">
        <f t="shared" si="4"/>
        <v>3.9612990910320755E-7</v>
      </c>
      <c r="R100" s="3">
        <v>98</v>
      </c>
      <c r="S100" s="7">
        <f t="shared" ca="1" si="3"/>
        <v>62.58681478554481</v>
      </c>
    </row>
    <row r="101" spans="5:19" x14ac:dyDescent="0.35">
      <c r="E101" s="3">
        <v>99</v>
      </c>
      <c r="F101" s="7">
        <f t="shared" si="4"/>
        <v>2.438960745893352E-7</v>
      </c>
      <c r="R101" s="3">
        <v>99</v>
      </c>
      <c r="S101" s="7">
        <f t="shared" ca="1" si="3"/>
        <v>49.137095379121035</v>
      </c>
    </row>
    <row r="102" spans="5:19" x14ac:dyDescent="0.35">
      <c r="E102" s="3">
        <v>100</v>
      </c>
      <c r="F102" s="7">
        <f t="shared" si="4"/>
        <v>1.4867195147342977E-7</v>
      </c>
      <c r="R102" s="3">
        <v>100</v>
      </c>
      <c r="S102" s="7">
        <f t="shared" ca="1" si="3"/>
        <v>41.726958568433517</v>
      </c>
    </row>
    <row r="103" spans="5:19" x14ac:dyDescent="0.35">
      <c r="R103" s="3">
        <v>101</v>
      </c>
      <c r="S103" s="7">
        <f t="shared" ref="S103:S166" ca="1" si="5">NORMINV(RAND(),C$3,C$4)</f>
        <v>61.294991474408377</v>
      </c>
    </row>
    <row r="104" spans="5:19" x14ac:dyDescent="0.35">
      <c r="R104" s="3">
        <v>102</v>
      </c>
      <c r="S104" s="7">
        <f t="shared" ca="1" si="5"/>
        <v>54.315039383675511</v>
      </c>
    </row>
    <row r="105" spans="5:19" x14ac:dyDescent="0.35">
      <c r="R105" s="3">
        <v>103</v>
      </c>
      <c r="S105" s="7">
        <f t="shared" ca="1" si="5"/>
        <v>35.377445064286526</v>
      </c>
    </row>
    <row r="106" spans="5:19" x14ac:dyDescent="0.35">
      <c r="R106" s="3">
        <v>104</v>
      </c>
      <c r="S106" s="7">
        <f t="shared" ca="1" si="5"/>
        <v>58.910273485696969</v>
      </c>
    </row>
    <row r="107" spans="5:19" x14ac:dyDescent="0.35">
      <c r="R107" s="3">
        <v>105</v>
      </c>
      <c r="S107" s="7">
        <f t="shared" ca="1" si="5"/>
        <v>50.687279777576236</v>
      </c>
    </row>
    <row r="108" spans="5:19" x14ac:dyDescent="0.35">
      <c r="R108" s="3">
        <v>106</v>
      </c>
      <c r="S108" s="7">
        <f t="shared" ca="1" si="5"/>
        <v>64.866649344480749</v>
      </c>
    </row>
    <row r="109" spans="5:19" x14ac:dyDescent="0.35">
      <c r="R109" s="3">
        <v>107</v>
      </c>
      <c r="S109" s="7">
        <f t="shared" ca="1" si="5"/>
        <v>57.14715619691696</v>
      </c>
    </row>
    <row r="110" spans="5:19" x14ac:dyDescent="0.35">
      <c r="R110" s="3">
        <v>108</v>
      </c>
      <c r="S110" s="7">
        <f t="shared" ca="1" si="5"/>
        <v>51.355517545361479</v>
      </c>
    </row>
    <row r="111" spans="5:19" x14ac:dyDescent="0.35">
      <c r="R111" s="3">
        <v>109</v>
      </c>
      <c r="S111" s="7">
        <f t="shared" ca="1" si="5"/>
        <v>53.000318605975359</v>
      </c>
    </row>
    <row r="112" spans="5:19" x14ac:dyDescent="0.35">
      <c r="R112" s="3">
        <v>110</v>
      </c>
      <c r="S112" s="7">
        <f t="shared" ca="1" si="5"/>
        <v>39.72327909573243</v>
      </c>
    </row>
    <row r="113" spans="18:19" x14ac:dyDescent="0.35">
      <c r="R113" s="3">
        <v>111</v>
      </c>
      <c r="S113" s="7">
        <f t="shared" ca="1" si="5"/>
        <v>66.107044364063711</v>
      </c>
    </row>
    <row r="114" spans="18:19" x14ac:dyDescent="0.35">
      <c r="R114" s="3">
        <v>112</v>
      </c>
      <c r="S114" s="7">
        <f t="shared" ca="1" si="5"/>
        <v>21.769759937587626</v>
      </c>
    </row>
    <row r="115" spans="18:19" x14ac:dyDescent="0.35">
      <c r="R115" s="3">
        <v>113</v>
      </c>
      <c r="S115" s="7">
        <f t="shared" ca="1" si="5"/>
        <v>55.727587088803396</v>
      </c>
    </row>
    <row r="116" spans="18:19" x14ac:dyDescent="0.35">
      <c r="R116" s="3">
        <v>114</v>
      </c>
      <c r="S116" s="7">
        <f t="shared" ca="1" si="5"/>
        <v>41.693882704947967</v>
      </c>
    </row>
    <row r="117" spans="18:19" x14ac:dyDescent="0.35">
      <c r="R117" s="3">
        <v>115</v>
      </c>
      <c r="S117" s="7">
        <f t="shared" ca="1" si="5"/>
        <v>59.729394471142562</v>
      </c>
    </row>
    <row r="118" spans="18:19" x14ac:dyDescent="0.35">
      <c r="R118" s="3">
        <v>116</v>
      </c>
      <c r="S118" s="7">
        <f t="shared" ca="1" si="5"/>
        <v>51.719600811006863</v>
      </c>
    </row>
    <row r="119" spans="18:19" x14ac:dyDescent="0.35">
      <c r="R119" s="3">
        <v>117</v>
      </c>
      <c r="S119" s="7">
        <f t="shared" ca="1" si="5"/>
        <v>38.220984819329033</v>
      </c>
    </row>
    <row r="120" spans="18:19" x14ac:dyDescent="0.35">
      <c r="R120" s="3">
        <v>118</v>
      </c>
      <c r="S120" s="7">
        <f t="shared" ca="1" si="5"/>
        <v>51.61205739072706</v>
      </c>
    </row>
    <row r="121" spans="18:19" x14ac:dyDescent="0.35">
      <c r="R121" s="3">
        <v>119</v>
      </c>
      <c r="S121" s="7">
        <f t="shared" ca="1" si="5"/>
        <v>66.853867270878382</v>
      </c>
    </row>
    <row r="122" spans="18:19" x14ac:dyDescent="0.35">
      <c r="R122" s="3">
        <v>120</v>
      </c>
      <c r="S122" s="7">
        <f t="shared" ca="1" si="5"/>
        <v>50.938210778363242</v>
      </c>
    </row>
    <row r="123" spans="18:19" x14ac:dyDescent="0.35">
      <c r="R123" s="3">
        <v>121</v>
      </c>
      <c r="S123" s="7">
        <f t="shared" ca="1" si="5"/>
        <v>59.013776762987476</v>
      </c>
    </row>
    <row r="124" spans="18:19" x14ac:dyDescent="0.35">
      <c r="R124" s="3">
        <v>122</v>
      </c>
      <c r="S124" s="7">
        <f t="shared" ca="1" si="5"/>
        <v>49.903443389474042</v>
      </c>
    </row>
    <row r="125" spans="18:19" x14ac:dyDescent="0.35">
      <c r="R125" s="3">
        <v>123</v>
      </c>
      <c r="S125" s="7">
        <f t="shared" ca="1" si="5"/>
        <v>51.837507495568431</v>
      </c>
    </row>
    <row r="126" spans="18:19" x14ac:dyDescent="0.35">
      <c r="R126" s="3">
        <v>124</v>
      </c>
      <c r="S126" s="7">
        <f t="shared" ca="1" si="5"/>
        <v>59.098709804688781</v>
      </c>
    </row>
    <row r="127" spans="18:19" x14ac:dyDescent="0.35">
      <c r="R127" s="3">
        <v>125</v>
      </c>
      <c r="S127" s="7">
        <f t="shared" ca="1" si="5"/>
        <v>46.202201737637772</v>
      </c>
    </row>
    <row r="128" spans="18:19" x14ac:dyDescent="0.35">
      <c r="R128" s="3">
        <v>126</v>
      </c>
      <c r="S128" s="7">
        <f t="shared" ca="1" si="5"/>
        <v>67.088881940815526</v>
      </c>
    </row>
    <row r="129" spans="18:19" x14ac:dyDescent="0.35">
      <c r="R129" s="3">
        <v>127</v>
      </c>
      <c r="S129" s="7">
        <f t="shared" ca="1" si="5"/>
        <v>57.357604996510823</v>
      </c>
    </row>
    <row r="130" spans="18:19" x14ac:dyDescent="0.35">
      <c r="R130" s="3">
        <v>128</v>
      </c>
      <c r="S130" s="7">
        <f t="shared" ca="1" si="5"/>
        <v>39.748071708536571</v>
      </c>
    </row>
    <row r="131" spans="18:19" x14ac:dyDescent="0.35">
      <c r="R131" s="3">
        <v>129</v>
      </c>
      <c r="S131" s="7">
        <f t="shared" ca="1" si="5"/>
        <v>38.775988458172648</v>
      </c>
    </row>
    <row r="132" spans="18:19" x14ac:dyDescent="0.35">
      <c r="R132" s="3">
        <v>130</v>
      </c>
      <c r="S132" s="7">
        <f t="shared" ca="1" si="5"/>
        <v>46.727843259583686</v>
      </c>
    </row>
    <row r="133" spans="18:19" x14ac:dyDescent="0.35">
      <c r="R133" s="3">
        <v>131</v>
      </c>
      <c r="S133" s="7">
        <f t="shared" ca="1" si="5"/>
        <v>57.034503921272332</v>
      </c>
    </row>
    <row r="134" spans="18:19" x14ac:dyDescent="0.35">
      <c r="R134" s="3">
        <v>132</v>
      </c>
      <c r="S134" s="7">
        <f t="shared" ca="1" si="5"/>
        <v>65.613495288973496</v>
      </c>
    </row>
    <row r="135" spans="18:19" x14ac:dyDescent="0.35">
      <c r="R135" s="3">
        <v>133</v>
      </c>
      <c r="S135" s="7">
        <f t="shared" ca="1" si="5"/>
        <v>40.388467563534398</v>
      </c>
    </row>
    <row r="136" spans="18:19" x14ac:dyDescent="0.35">
      <c r="R136" s="3">
        <v>134</v>
      </c>
      <c r="S136" s="7">
        <f t="shared" ca="1" si="5"/>
        <v>29.016037937071722</v>
      </c>
    </row>
    <row r="137" spans="18:19" x14ac:dyDescent="0.35">
      <c r="R137" s="3">
        <v>135</v>
      </c>
      <c r="S137" s="7">
        <f t="shared" ca="1" si="5"/>
        <v>48.165282670338179</v>
      </c>
    </row>
    <row r="138" spans="18:19" x14ac:dyDescent="0.35">
      <c r="R138" s="3">
        <v>136</v>
      </c>
      <c r="S138" s="7">
        <f t="shared" ca="1" si="5"/>
        <v>54.953536274641579</v>
      </c>
    </row>
    <row r="139" spans="18:19" x14ac:dyDescent="0.35">
      <c r="R139" s="3">
        <v>137</v>
      </c>
      <c r="S139" s="7">
        <f t="shared" ca="1" si="5"/>
        <v>52.968005562470204</v>
      </c>
    </row>
    <row r="140" spans="18:19" x14ac:dyDescent="0.35">
      <c r="R140" s="3">
        <v>138</v>
      </c>
      <c r="S140" s="7">
        <f t="shared" ca="1" si="5"/>
        <v>33.609513951230838</v>
      </c>
    </row>
    <row r="141" spans="18:19" x14ac:dyDescent="0.35">
      <c r="R141" s="3">
        <v>139</v>
      </c>
      <c r="S141" s="7">
        <f t="shared" ca="1" si="5"/>
        <v>53.803649963250564</v>
      </c>
    </row>
    <row r="142" spans="18:19" x14ac:dyDescent="0.35">
      <c r="R142" s="3">
        <v>140</v>
      </c>
      <c r="S142" s="7">
        <f t="shared" ca="1" si="5"/>
        <v>34.398629908747701</v>
      </c>
    </row>
    <row r="143" spans="18:19" x14ac:dyDescent="0.35">
      <c r="R143" s="3">
        <v>141</v>
      </c>
      <c r="S143" s="7">
        <f t="shared" ca="1" si="5"/>
        <v>50.930340716605777</v>
      </c>
    </row>
    <row r="144" spans="18:19" x14ac:dyDescent="0.35">
      <c r="R144" s="3">
        <v>142</v>
      </c>
      <c r="S144" s="7">
        <f t="shared" ca="1" si="5"/>
        <v>37.488198446624153</v>
      </c>
    </row>
    <row r="145" spans="18:19" x14ac:dyDescent="0.35">
      <c r="R145" s="3">
        <v>143</v>
      </c>
      <c r="S145" s="7">
        <f t="shared" ca="1" si="5"/>
        <v>51.865978216429731</v>
      </c>
    </row>
    <row r="146" spans="18:19" x14ac:dyDescent="0.35">
      <c r="R146" s="3">
        <v>144</v>
      </c>
      <c r="S146" s="7">
        <f t="shared" ca="1" si="5"/>
        <v>66.81912920871082</v>
      </c>
    </row>
    <row r="147" spans="18:19" x14ac:dyDescent="0.35">
      <c r="R147" s="3">
        <v>145</v>
      </c>
      <c r="S147" s="7">
        <f t="shared" ca="1" si="5"/>
        <v>56.333540190932958</v>
      </c>
    </row>
    <row r="148" spans="18:19" x14ac:dyDescent="0.35">
      <c r="R148" s="3">
        <v>146</v>
      </c>
      <c r="S148" s="7">
        <f t="shared" ca="1" si="5"/>
        <v>41.202764567600909</v>
      </c>
    </row>
    <row r="149" spans="18:19" x14ac:dyDescent="0.35">
      <c r="R149" s="3">
        <v>147</v>
      </c>
      <c r="S149" s="7">
        <f t="shared" ca="1" si="5"/>
        <v>63.338320761507795</v>
      </c>
    </row>
    <row r="150" spans="18:19" x14ac:dyDescent="0.35">
      <c r="R150" s="3">
        <v>148</v>
      </c>
      <c r="S150" s="7">
        <f t="shared" ca="1" si="5"/>
        <v>39.047584604072846</v>
      </c>
    </row>
    <row r="151" spans="18:19" x14ac:dyDescent="0.35">
      <c r="R151" s="3">
        <v>149</v>
      </c>
      <c r="S151" s="7">
        <f t="shared" ca="1" si="5"/>
        <v>50.037592939946393</v>
      </c>
    </row>
    <row r="152" spans="18:19" x14ac:dyDescent="0.35">
      <c r="R152" s="3">
        <v>150</v>
      </c>
      <c r="S152" s="7">
        <f t="shared" ca="1" si="5"/>
        <v>54.946774735668811</v>
      </c>
    </row>
    <row r="153" spans="18:19" x14ac:dyDescent="0.35">
      <c r="R153" s="3">
        <v>151</v>
      </c>
      <c r="S153" s="7">
        <f t="shared" ca="1" si="5"/>
        <v>55.543343960665553</v>
      </c>
    </row>
    <row r="154" spans="18:19" x14ac:dyDescent="0.35">
      <c r="R154" s="3">
        <v>152</v>
      </c>
      <c r="S154" s="7">
        <f t="shared" ca="1" si="5"/>
        <v>43.315685836170836</v>
      </c>
    </row>
    <row r="155" spans="18:19" x14ac:dyDescent="0.35">
      <c r="R155" s="3">
        <v>153</v>
      </c>
      <c r="S155" s="7">
        <f t="shared" ca="1" si="5"/>
        <v>74.888461899724632</v>
      </c>
    </row>
    <row r="156" spans="18:19" x14ac:dyDescent="0.35">
      <c r="R156" s="3">
        <v>154</v>
      </c>
      <c r="S156" s="7">
        <f t="shared" ca="1" si="5"/>
        <v>54.885851783166189</v>
      </c>
    </row>
    <row r="157" spans="18:19" x14ac:dyDescent="0.35">
      <c r="R157" s="3">
        <v>155</v>
      </c>
      <c r="S157" s="7">
        <f t="shared" ca="1" si="5"/>
        <v>42.108038885686504</v>
      </c>
    </row>
    <row r="158" spans="18:19" x14ac:dyDescent="0.35">
      <c r="R158" s="3">
        <v>156</v>
      </c>
      <c r="S158" s="7">
        <f t="shared" ca="1" si="5"/>
        <v>68.581769391708079</v>
      </c>
    </row>
    <row r="159" spans="18:19" x14ac:dyDescent="0.35">
      <c r="R159" s="3">
        <v>157</v>
      </c>
      <c r="S159" s="7">
        <f t="shared" ca="1" si="5"/>
        <v>48.491253880037654</v>
      </c>
    </row>
    <row r="160" spans="18:19" x14ac:dyDescent="0.35">
      <c r="R160" s="3">
        <v>158</v>
      </c>
      <c r="S160" s="7">
        <f t="shared" ca="1" si="5"/>
        <v>44.350744007694217</v>
      </c>
    </row>
    <row r="161" spans="18:19" x14ac:dyDescent="0.35">
      <c r="R161" s="3">
        <v>159</v>
      </c>
      <c r="S161" s="7">
        <f t="shared" ca="1" si="5"/>
        <v>31.782103659184752</v>
      </c>
    </row>
    <row r="162" spans="18:19" x14ac:dyDescent="0.35">
      <c r="R162" s="3">
        <v>160</v>
      </c>
      <c r="S162" s="7">
        <f t="shared" ca="1" si="5"/>
        <v>54.933626327794215</v>
      </c>
    </row>
    <row r="163" spans="18:19" x14ac:dyDescent="0.35">
      <c r="R163" s="3">
        <v>161</v>
      </c>
      <c r="S163" s="7">
        <f t="shared" ca="1" si="5"/>
        <v>54.626417871622273</v>
      </c>
    </row>
    <row r="164" spans="18:19" x14ac:dyDescent="0.35">
      <c r="R164" s="3">
        <v>162</v>
      </c>
      <c r="S164" s="7">
        <f t="shared" ca="1" si="5"/>
        <v>68.373180529601967</v>
      </c>
    </row>
    <row r="165" spans="18:19" x14ac:dyDescent="0.35">
      <c r="R165" s="3">
        <v>163</v>
      </c>
      <c r="S165" s="7">
        <f t="shared" ca="1" si="5"/>
        <v>68.363444847998707</v>
      </c>
    </row>
    <row r="166" spans="18:19" x14ac:dyDescent="0.35">
      <c r="R166" s="3">
        <v>164</v>
      </c>
      <c r="S166" s="7">
        <f t="shared" ca="1" si="5"/>
        <v>56.540749323370484</v>
      </c>
    </row>
    <row r="167" spans="18:19" x14ac:dyDescent="0.35">
      <c r="R167" s="3">
        <v>165</v>
      </c>
      <c r="S167" s="7">
        <f t="shared" ref="S167:S230" ca="1" si="6">NORMINV(RAND(),C$3,C$4)</f>
        <v>57.527105785124832</v>
      </c>
    </row>
    <row r="168" spans="18:19" x14ac:dyDescent="0.35">
      <c r="R168" s="3">
        <v>166</v>
      </c>
      <c r="S168" s="7">
        <f t="shared" ca="1" si="6"/>
        <v>43.619733469712372</v>
      </c>
    </row>
    <row r="169" spans="18:19" x14ac:dyDescent="0.35">
      <c r="R169" s="3">
        <v>167</v>
      </c>
      <c r="S169" s="7">
        <f t="shared" ca="1" si="6"/>
        <v>58.189170275185134</v>
      </c>
    </row>
    <row r="170" spans="18:19" x14ac:dyDescent="0.35">
      <c r="R170" s="3">
        <v>168</v>
      </c>
      <c r="S170" s="7">
        <f t="shared" ca="1" si="6"/>
        <v>53.643664734331743</v>
      </c>
    </row>
    <row r="171" spans="18:19" x14ac:dyDescent="0.35">
      <c r="R171" s="3">
        <v>169</v>
      </c>
      <c r="S171" s="7">
        <f t="shared" ca="1" si="6"/>
        <v>34.671030695999157</v>
      </c>
    </row>
    <row r="172" spans="18:19" x14ac:dyDescent="0.35">
      <c r="R172" s="3">
        <v>170</v>
      </c>
      <c r="S172" s="7">
        <f t="shared" ca="1" si="6"/>
        <v>49.542195643975596</v>
      </c>
    </row>
    <row r="173" spans="18:19" x14ac:dyDescent="0.35">
      <c r="R173" s="3">
        <v>171</v>
      </c>
      <c r="S173" s="7">
        <f t="shared" ca="1" si="6"/>
        <v>58.827580015895876</v>
      </c>
    </row>
    <row r="174" spans="18:19" x14ac:dyDescent="0.35">
      <c r="R174" s="3">
        <v>172</v>
      </c>
      <c r="S174" s="7">
        <f t="shared" ca="1" si="6"/>
        <v>45.564396035636214</v>
      </c>
    </row>
    <row r="175" spans="18:19" x14ac:dyDescent="0.35">
      <c r="R175" s="3">
        <v>173</v>
      </c>
      <c r="S175" s="7">
        <f t="shared" ca="1" si="6"/>
        <v>53.54132096823411</v>
      </c>
    </row>
    <row r="176" spans="18:19" x14ac:dyDescent="0.35">
      <c r="R176" s="3">
        <v>174</v>
      </c>
      <c r="S176" s="7">
        <f t="shared" ca="1" si="6"/>
        <v>38.138988815791883</v>
      </c>
    </row>
    <row r="177" spans="18:19" x14ac:dyDescent="0.35">
      <c r="R177" s="3">
        <v>175</v>
      </c>
      <c r="S177" s="7">
        <f t="shared" ca="1" si="6"/>
        <v>50.158749009074299</v>
      </c>
    </row>
    <row r="178" spans="18:19" x14ac:dyDescent="0.35">
      <c r="R178" s="3">
        <v>176</v>
      </c>
      <c r="S178" s="7">
        <f t="shared" ca="1" si="6"/>
        <v>56.238334342137286</v>
      </c>
    </row>
    <row r="179" spans="18:19" x14ac:dyDescent="0.35">
      <c r="R179" s="3">
        <v>177</v>
      </c>
      <c r="S179" s="7">
        <f t="shared" ca="1" si="6"/>
        <v>63.680362221134331</v>
      </c>
    </row>
    <row r="180" spans="18:19" x14ac:dyDescent="0.35">
      <c r="R180" s="3">
        <v>178</v>
      </c>
      <c r="S180" s="7">
        <f t="shared" ca="1" si="6"/>
        <v>50.84523569473572</v>
      </c>
    </row>
    <row r="181" spans="18:19" x14ac:dyDescent="0.35">
      <c r="R181" s="3">
        <v>179</v>
      </c>
      <c r="S181" s="7">
        <f t="shared" ca="1" si="6"/>
        <v>36.867832275130752</v>
      </c>
    </row>
    <row r="182" spans="18:19" x14ac:dyDescent="0.35">
      <c r="R182" s="3">
        <v>180</v>
      </c>
      <c r="S182" s="7">
        <f t="shared" ca="1" si="6"/>
        <v>38.80916217909887</v>
      </c>
    </row>
    <row r="183" spans="18:19" x14ac:dyDescent="0.35">
      <c r="R183" s="3">
        <v>181</v>
      </c>
      <c r="S183" s="7">
        <f t="shared" ca="1" si="6"/>
        <v>60.221394942837421</v>
      </c>
    </row>
    <row r="184" spans="18:19" x14ac:dyDescent="0.35">
      <c r="R184" s="3">
        <v>182</v>
      </c>
      <c r="S184" s="7">
        <f t="shared" ca="1" si="6"/>
        <v>28.328677654334861</v>
      </c>
    </row>
    <row r="185" spans="18:19" x14ac:dyDescent="0.35">
      <c r="R185" s="3">
        <v>183</v>
      </c>
      <c r="S185" s="7">
        <f t="shared" ca="1" si="6"/>
        <v>53.977062765105359</v>
      </c>
    </row>
    <row r="186" spans="18:19" x14ac:dyDescent="0.35">
      <c r="R186" s="3">
        <v>184</v>
      </c>
      <c r="S186" s="7">
        <f t="shared" ca="1" si="6"/>
        <v>49.161182224650972</v>
      </c>
    </row>
    <row r="187" spans="18:19" x14ac:dyDescent="0.35">
      <c r="R187" s="3">
        <v>185</v>
      </c>
      <c r="S187" s="7">
        <f t="shared" ca="1" si="6"/>
        <v>62.548427078468031</v>
      </c>
    </row>
    <row r="188" spans="18:19" x14ac:dyDescent="0.35">
      <c r="R188" s="3">
        <v>186</v>
      </c>
      <c r="S188" s="7">
        <f t="shared" ca="1" si="6"/>
        <v>35.943552359332443</v>
      </c>
    </row>
    <row r="189" spans="18:19" x14ac:dyDescent="0.35">
      <c r="R189" s="3">
        <v>187</v>
      </c>
      <c r="S189" s="7">
        <f t="shared" ca="1" si="6"/>
        <v>48.252991465007639</v>
      </c>
    </row>
    <row r="190" spans="18:19" x14ac:dyDescent="0.35">
      <c r="R190" s="3">
        <v>188</v>
      </c>
      <c r="S190" s="7">
        <f t="shared" ca="1" si="6"/>
        <v>24.785025326030159</v>
      </c>
    </row>
    <row r="191" spans="18:19" x14ac:dyDescent="0.35">
      <c r="R191" s="3">
        <v>189</v>
      </c>
      <c r="S191" s="7">
        <f t="shared" ca="1" si="6"/>
        <v>32.301717717091606</v>
      </c>
    </row>
    <row r="192" spans="18:19" x14ac:dyDescent="0.35">
      <c r="R192" s="3">
        <v>190</v>
      </c>
      <c r="S192" s="7">
        <f t="shared" ca="1" si="6"/>
        <v>62.965869024238756</v>
      </c>
    </row>
    <row r="193" spans="18:19" x14ac:dyDescent="0.35">
      <c r="R193" s="3">
        <v>191</v>
      </c>
      <c r="S193" s="7">
        <f t="shared" ca="1" si="6"/>
        <v>54.762040673864348</v>
      </c>
    </row>
    <row r="194" spans="18:19" x14ac:dyDescent="0.35">
      <c r="R194" s="3">
        <v>192</v>
      </c>
      <c r="S194" s="7">
        <f t="shared" ca="1" si="6"/>
        <v>60.202196030603801</v>
      </c>
    </row>
    <row r="195" spans="18:19" x14ac:dyDescent="0.35">
      <c r="R195" s="3">
        <v>193</v>
      </c>
      <c r="S195" s="7">
        <f t="shared" ca="1" si="6"/>
        <v>64.681764517720808</v>
      </c>
    </row>
    <row r="196" spans="18:19" x14ac:dyDescent="0.35">
      <c r="R196" s="3">
        <v>194</v>
      </c>
      <c r="S196" s="7">
        <f t="shared" ca="1" si="6"/>
        <v>54.410056849412214</v>
      </c>
    </row>
    <row r="197" spans="18:19" x14ac:dyDescent="0.35">
      <c r="R197" s="3">
        <v>195</v>
      </c>
      <c r="S197" s="7">
        <f t="shared" ca="1" si="6"/>
        <v>61.533170693684724</v>
      </c>
    </row>
    <row r="198" spans="18:19" x14ac:dyDescent="0.35">
      <c r="R198" s="3">
        <v>196</v>
      </c>
      <c r="S198" s="7">
        <f t="shared" ca="1" si="6"/>
        <v>65.821337087126722</v>
      </c>
    </row>
    <row r="199" spans="18:19" x14ac:dyDescent="0.35">
      <c r="R199" s="3">
        <v>197</v>
      </c>
      <c r="S199" s="7">
        <f t="shared" ca="1" si="6"/>
        <v>44.33081176673376</v>
      </c>
    </row>
    <row r="200" spans="18:19" x14ac:dyDescent="0.35">
      <c r="R200" s="3">
        <v>198</v>
      </c>
      <c r="S200" s="7">
        <f t="shared" ca="1" si="6"/>
        <v>58.737453555384867</v>
      </c>
    </row>
    <row r="201" spans="18:19" x14ac:dyDescent="0.35">
      <c r="R201" s="3">
        <v>199</v>
      </c>
      <c r="S201" s="7">
        <f t="shared" ca="1" si="6"/>
        <v>44.398391852167556</v>
      </c>
    </row>
    <row r="202" spans="18:19" x14ac:dyDescent="0.35">
      <c r="R202" s="3">
        <v>200</v>
      </c>
      <c r="S202" s="7">
        <f t="shared" ca="1" si="6"/>
        <v>56.848376646148942</v>
      </c>
    </row>
    <row r="203" spans="18:19" x14ac:dyDescent="0.35">
      <c r="R203" s="3">
        <v>201</v>
      </c>
      <c r="S203" s="7">
        <f t="shared" ca="1" si="6"/>
        <v>66.974972845148358</v>
      </c>
    </row>
    <row r="204" spans="18:19" x14ac:dyDescent="0.35">
      <c r="R204" s="3">
        <v>202</v>
      </c>
      <c r="S204" s="7">
        <f t="shared" ca="1" si="6"/>
        <v>50.74819462278333</v>
      </c>
    </row>
    <row r="205" spans="18:19" x14ac:dyDescent="0.35">
      <c r="R205" s="3">
        <v>203</v>
      </c>
      <c r="S205" s="7">
        <f t="shared" ca="1" si="6"/>
        <v>45.246189117584969</v>
      </c>
    </row>
    <row r="206" spans="18:19" x14ac:dyDescent="0.35">
      <c r="R206" s="3">
        <v>204</v>
      </c>
      <c r="S206" s="7">
        <f t="shared" ca="1" si="6"/>
        <v>53.07317566168129</v>
      </c>
    </row>
    <row r="207" spans="18:19" x14ac:dyDescent="0.35">
      <c r="R207" s="3">
        <v>205</v>
      </c>
      <c r="S207" s="7">
        <f t="shared" ca="1" si="6"/>
        <v>51.644654882289281</v>
      </c>
    </row>
    <row r="208" spans="18:19" x14ac:dyDescent="0.35">
      <c r="R208" s="3">
        <v>206</v>
      </c>
      <c r="S208" s="7">
        <f t="shared" ca="1" si="6"/>
        <v>36.434939684794642</v>
      </c>
    </row>
    <row r="209" spans="18:19" x14ac:dyDescent="0.35">
      <c r="R209" s="3">
        <v>207</v>
      </c>
      <c r="S209" s="7">
        <f t="shared" ca="1" si="6"/>
        <v>67.016132955505682</v>
      </c>
    </row>
    <row r="210" spans="18:19" x14ac:dyDescent="0.35">
      <c r="R210" s="3">
        <v>208</v>
      </c>
      <c r="S210" s="7">
        <f t="shared" ca="1" si="6"/>
        <v>72.630687598984665</v>
      </c>
    </row>
    <row r="211" spans="18:19" x14ac:dyDescent="0.35">
      <c r="R211" s="3">
        <v>209</v>
      </c>
      <c r="S211" s="7">
        <f t="shared" ca="1" si="6"/>
        <v>59.965967911985253</v>
      </c>
    </row>
    <row r="212" spans="18:19" x14ac:dyDescent="0.35">
      <c r="R212" s="3">
        <v>210</v>
      </c>
      <c r="S212" s="7">
        <f t="shared" ca="1" si="6"/>
        <v>54.786777222662565</v>
      </c>
    </row>
    <row r="213" spans="18:19" x14ac:dyDescent="0.35">
      <c r="R213" s="3">
        <v>211</v>
      </c>
      <c r="S213" s="7">
        <f t="shared" ca="1" si="6"/>
        <v>70.062060245409725</v>
      </c>
    </row>
    <row r="214" spans="18:19" x14ac:dyDescent="0.35">
      <c r="R214" s="3">
        <v>212</v>
      </c>
      <c r="S214" s="7">
        <f t="shared" ca="1" si="6"/>
        <v>51.312583252545863</v>
      </c>
    </row>
    <row r="215" spans="18:19" x14ac:dyDescent="0.35">
      <c r="R215" s="3">
        <v>213</v>
      </c>
      <c r="S215" s="7">
        <f t="shared" ca="1" si="6"/>
        <v>52.843768887571187</v>
      </c>
    </row>
    <row r="216" spans="18:19" x14ac:dyDescent="0.35">
      <c r="R216" s="3">
        <v>214</v>
      </c>
      <c r="S216" s="7">
        <f t="shared" ca="1" si="6"/>
        <v>57.439089976344363</v>
      </c>
    </row>
    <row r="217" spans="18:19" x14ac:dyDescent="0.35">
      <c r="R217" s="3">
        <v>215</v>
      </c>
      <c r="S217" s="7">
        <f t="shared" ca="1" si="6"/>
        <v>42.019964522831536</v>
      </c>
    </row>
    <row r="218" spans="18:19" x14ac:dyDescent="0.35">
      <c r="R218" s="3">
        <v>216</v>
      </c>
      <c r="S218" s="7">
        <f t="shared" ca="1" si="6"/>
        <v>65.333256571747867</v>
      </c>
    </row>
    <row r="219" spans="18:19" x14ac:dyDescent="0.35">
      <c r="R219" s="3">
        <v>217</v>
      </c>
      <c r="S219" s="7">
        <f t="shared" ca="1" si="6"/>
        <v>62.06270864274714</v>
      </c>
    </row>
    <row r="220" spans="18:19" x14ac:dyDescent="0.35">
      <c r="R220" s="3">
        <v>218</v>
      </c>
      <c r="S220" s="7">
        <f t="shared" ca="1" si="6"/>
        <v>37.416369019492393</v>
      </c>
    </row>
    <row r="221" spans="18:19" x14ac:dyDescent="0.35">
      <c r="R221" s="3">
        <v>219</v>
      </c>
      <c r="S221" s="7">
        <f t="shared" ca="1" si="6"/>
        <v>43.68616769102514</v>
      </c>
    </row>
    <row r="222" spans="18:19" x14ac:dyDescent="0.35">
      <c r="R222" s="3">
        <v>220</v>
      </c>
      <c r="S222" s="7">
        <f t="shared" ca="1" si="6"/>
        <v>55.901538101254602</v>
      </c>
    </row>
    <row r="223" spans="18:19" x14ac:dyDescent="0.35">
      <c r="R223" s="3">
        <v>221</v>
      </c>
      <c r="S223" s="7">
        <f t="shared" ca="1" si="6"/>
        <v>46.511081946182642</v>
      </c>
    </row>
    <row r="224" spans="18:19" x14ac:dyDescent="0.35">
      <c r="R224" s="3">
        <v>222</v>
      </c>
      <c r="S224" s="7">
        <f t="shared" ca="1" si="6"/>
        <v>29.483532297592912</v>
      </c>
    </row>
    <row r="225" spans="18:19" x14ac:dyDescent="0.35">
      <c r="R225" s="3">
        <v>223</v>
      </c>
      <c r="S225" s="7">
        <f t="shared" ca="1" si="6"/>
        <v>55.142918269673245</v>
      </c>
    </row>
    <row r="226" spans="18:19" x14ac:dyDescent="0.35">
      <c r="R226" s="3">
        <v>224</v>
      </c>
      <c r="S226" s="7">
        <f t="shared" ca="1" si="6"/>
        <v>63.197872491088887</v>
      </c>
    </row>
    <row r="227" spans="18:19" x14ac:dyDescent="0.35">
      <c r="R227" s="3">
        <v>225</v>
      </c>
      <c r="S227" s="7">
        <f t="shared" ca="1" si="6"/>
        <v>43.174496423740194</v>
      </c>
    </row>
    <row r="228" spans="18:19" x14ac:dyDescent="0.35">
      <c r="R228" s="3">
        <v>226</v>
      </c>
      <c r="S228" s="7">
        <f t="shared" ca="1" si="6"/>
        <v>50.487683217569497</v>
      </c>
    </row>
    <row r="229" spans="18:19" x14ac:dyDescent="0.35">
      <c r="R229" s="3">
        <v>227</v>
      </c>
      <c r="S229" s="7">
        <f t="shared" ca="1" si="6"/>
        <v>52.260309686916145</v>
      </c>
    </row>
    <row r="230" spans="18:19" x14ac:dyDescent="0.35">
      <c r="R230" s="3">
        <v>228</v>
      </c>
      <c r="S230" s="7">
        <f t="shared" ca="1" si="6"/>
        <v>37.90633277568076</v>
      </c>
    </row>
    <row r="231" spans="18:19" x14ac:dyDescent="0.35">
      <c r="R231" s="3">
        <v>229</v>
      </c>
      <c r="S231" s="7">
        <f t="shared" ref="S231:S294" ca="1" si="7">NORMINV(RAND(),C$3,C$4)</f>
        <v>62.993814994353357</v>
      </c>
    </row>
    <row r="232" spans="18:19" x14ac:dyDescent="0.35">
      <c r="R232" s="3">
        <v>230</v>
      </c>
      <c r="S232" s="7">
        <f t="shared" ca="1" si="7"/>
        <v>63.520673960321396</v>
      </c>
    </row>
    <row r="233" spans="18:19" x14ac:dyDescent="0.35">
      <c r="R233" s="3">
        <v>231</v>
      </c>
      <c r="S233" s="7">
        <f t="shared" ca="1" si="7"/>
        <v>51.484545876548616</v>
      </c>
    </row>
    <row r="234" spans="18:19" x14ac:dyDescent="0.35">
      <c r="R234" s="3">
        <v>232</v>
      </c>
      <c r="S234" s="7">
        <f t="shared" ca="1" si="7"/>
        <v>46.111441633674431</v>
      </c>
    </row>
    <row r="235" spans="18:19" x14ac:dyDescent="0.35">
      <c r="R235" s="3">
        <v>233</v>
      </c>
      <c r="S235" s="7">
        <f t="shared" ca="1" si="7"/>
        <v>49.549433908705424</v>
      </c>
    </row>
    <row r="236" spans="18:19" x14ac:dyDescent="0.35">
      <c r="R236" s="3">
        <v>234</v>
      </c>
      <c r="S236" s="7">
        <f t="shared" ca="1" si="7"/>
        <v>58.151182188376033</v>
      </c>
    </row>
    <row r="237" spans="18:19" x14ac:dyDescent="0.35">
      <c r="R237" s="3">
        <v>235</v>
      </c>
      <c r="S237" s="7">
        <f t="shared" ca="1" si="7"/>
        <v>43.657550479015384</v>
      </c>
    </row>
    <row r="238" spans="18:19" x14ac:dyDescent="0.35">
      <c r="R238" s="3">
        <v>236</v>
      </c>
      <c r="S238" s="7">
        <f t="shared" ca="1" si="7"/>
        <v>38.724214784181001</v>
      </c>
    </row>
    <row r="239" spans="18:19" x14ac:dyDescent="0.35">
      <c r="R239" s="3">
        <v>237</v>
      </c>
      <c r="S239" s="7">
        <f t="shared" ca="1" si="7"/>
        <v>46.260062769979605</v>
      </c>
    </row>
    <row r="240" spans="18:19" x14ac:dyDescent="0.35">
      <c r="R240" s="3">
        <v>238</v>
      </c>
      <c r="S240" s="7">
        <f t="shared" ca="1" si="7"/>
        <v>56.97005666399825</v>
      </c>
    </row>
    <row r="241" spans="18:19" x14ac:dyDescent="0.35">
      <c r="R241" s="3">
        <v>239</v>
      </c>
      <c r="S241" s="7">
        <f t="shared" ca="1" si="7"/>
        <v>47.943044558386518</v>
      </c>
    </row>
    <row r="242" spans="18:19" x14ac:dyDescent="0.35">
      <c r="R242" s="3">
        <v>240</v>
      </c>
      <c r="S242" s="7">
        <f t="shared" ca="1" si="7"/>
        <v>25.935720619188491</v>
      </c>
    </row>
    <row r="243" spans="18:19" x14ac:dyDescent="0.35">
      <c r="R243" s="3">
        <v>241</v>
      </c>
      <c r="S243" s="7">
        <f t="shared" ca="1" si="7"/>
        <v>30.400279708479854</v>
      </c>
    </row>
    <row r="244" spans="18:19" x14ac:dyDescent="0.35">
      <c r="R244" s="3">
        <v>242</v>
      </c>
      <c r="S244" s="7">
        <f t="shared" ca="1" si="7"/>
        <v>39.587158178055283</v>
      </c>
    </row>
    <row r="245" spans="18:19" x14ac:dyDescent="0.35">
      <c r="R245" s="3">
        <v>243</v>
      </c>
      <c r="S245" s="7">
        <f t="shared" ca="1" si="7"/>
        <v>52.074872420815694</v>
      </c>
    </row>
    <row r="246" spans="18:19" x14ac:dyDescent="0.35">
      <c r="R246" s="3">
        <v>244</v>
      </c>
      <c r="S246" s="7">
        <f t="shared" ca="1" si="7"/>
        <v>44.198704019054986</v>
      </c>
    </row>
    <row r="247" spans="18:19" x14ac:dyDescent="0.35">
      <c r="R247" s="3">
        <v>245</v>
      </c>
      <c r="S247" s="7">
        <f t="shared" ca="1" si="7"/>
        <v>63.196249153645773</v>
      </c>
    </row>
    <row r="248" spans="18:19" x14ac:dyDescent="0.35">
      <c r="R248" s="3">
        <v>246</v>
      </c>
      <c r="S248" s="7">
        <f t="shared" ca="1" si="7"/>
        <v>45.801313315165672</v>
      </c>
    </row>
    <row r="249" spans="18:19" x14ac:dyDescent="0.35">
      <c r="R249" s="3">
        <v>247</v>
      </c>
      <c r="S249" s="7">
        <f t="shared" ca="1" si="7"/>
        <v>51.046064286567734</v>
      </c>
    </row>
    <row r="250" spans="18:19" x14ac:dyDescent="0.35">
      <c r="R250" s="3">
        <v>248</v>
      </c>
      <c r="S250" s="7">
        <f t="shared" ca="1" si="7"/>
        <v>38.322177586241338</v>
      </c>
    </row>
    <row r="251" spans="18:19" x14ac:dyDescent="0.35">
      <c r="R251" s="3">
        <v>249</v>
      </c>
      <c r="S251" s="7">
        <f t="shared" ca="1" si="7"/>
        <v>49.248822371162014</v>
      </c>
    </row>
    <row r="252" spans="18:19" x14ac:dyDescent="0.35">
      <c r="R252" s="3">
        <v>250</v>
      </c>
      <c r="S252" s="7">
        <f t="shared" ca="1" si="7"/>
        <v>46.923308654898626</v>
      </c>
    </row>
    <row r="253" spans="18:19" x14ac:dyDescent="0.35">
      <c r="R253" s="3">
        <v>251</v>
      </c>
      <c r="S253" s="7">
        <f t="shared" ca="1" si="7"/>
        <v>40.562580540903909</v>
      </c>
    </row>
    <row r="254" spans="18:19" x14ac:dyDescent="0.35">
      <c r="R254" s="3">
        <v>252</v>
      </c>
      <c r="S254" s="7">
        <f t="shared" ca="1" si="7"/>
        <v>48.626594859478622</v>
      </c>
    </row>
    <row r="255" spans="18:19" x14ac:dyDescent="0.35">
      <c r="R255" s="3">
        <v>253</v>
      </c>
      <c r="S255" s="7">
        <f t="shared" ca="1" si="7"/>
        <v>60.435712143278721</v>
      </c>
    </row>
    <row r="256" spans="18:19" x14ac:dyDescent="0.35">
      <c r="R256" s="3">
        <v>254</v>
      </c>
      <c r="S256" s="7">
        <f t="shared" ca="1" si="7"/>
        <v>51.832734784709288</v>
      </c>
    </row>
    <row r="257" spans="18:19" x14ac:dyDescent="0.35">
      <c r="R257" s="3">
        <v>255</v>
      </c>
      <c r="S257" s="7">
        <f t="shared" ca="1" si="7"/>
        <v>50.684502458816745</v>
      </c>
    </row>
    <row r="258" spans="18:19" x14ac:dyDescent="0.35">
      <c r="R258" s="3">
        <v>256</v>
      </c>
      <c r="S258" s="7">
        <f t="shared" ca="1" si="7"/>
        <v>60.20144389269101</v>
      </c>
    </row>
    <row r="259" spans="18:19" x14ac:dyDescent="0.35">
      <c r="R259" s="3">
        <v>257</v>
      </c>
      <c r="S259" s="7">
        <f t="shared" ca="1" si="7"/>
        <v>43.921439977449857</v>
      </c>
    </row>
    <row r="260" spans="18:19" x14ac:dyDescent="0.35">
      <c r="R260" s="3">
        <v>258</v>
      </c>
      <c r="S260" s="7">
        <f t="shared" ca="1" si="7"/>
        <v>40.495888510940688</v>
      </c>
    </row>
    <row r="261" spans="18:19" x14ac:dyDescent="0.35">
      <c r="R261" s="3">
        <v>259</v>
      </c>
      <c r="S261" s="7">
        <f t="shared" ca="1" si="7"/>
        <v>57.102623607751262</v>
      </c>
    </row>
    <row r="262" spans="18:19" x14ac:dyDescent="0.35">
      <c r="R262" s="3">
        <v>260</v>
      </c>
      <c r="S262" s="7">
        <f t="shared" ca="1" si="7"/>
        <v>60.045887569885686</v>
      </c>
    </row>
    <row r="263" spans="18:19" x14ac:dyDescent="0.35">
      <c r="R263" s="3">
        <v>261</v>
      </c>
      <c r="S263" s="7">
        <f t="shared" ca="1" si="7"/>
        <v>48.409173318266163</v>
      </c>
    </row>
    <row r="264" spans="18:19" x14ac:dyDescent="0.35">
      <c r="R264" s="3">
        <v>262</v>
      </c>
      <c r="S264" s="7">
        <f t="shared" ca="1" si="7"/>
        <v>31.11635382706999</v>
      </c>
    </row>
    <row r="265" spans="18:19" x14ac:dyDescent="0.35">
      <c r="R265" s="3">
        <v>263</v>
      </c>
      <c r="S265" s="7">
        <f t="shared" ca="1" si="7"/>
        <v>76.164208778854629</v>
      </c>
    </row>
    <row r="266" spans="18:19" x14ac:dyDescent="0.35">
      <c r="R266" s="3">
        <v>264</v>
      </c>
      <c r="S266" s="7">
        <f t="shared" ca="1" si="7"/>
        <v>60.562689135100484</v>
      </c>
    </row>
    <row r="267" spans="18:19" x14ac:dyDescent="0.35">
      <c r="R267" s="3">
        <v>265</v>
      </c>
      <c r="S267" s="7">
        <f t="shared" ca="1" si="7"/>
        <v>51.398372924293959</v>
      </c>
    </row>
    <row r="268" spans="18:19" x14ac:dyDescent="0.35">
      <c r="R268" s="3">
        <v>266</v>
      </c>
      <c r="S268" s="7">
        <f t="shared" ca="1" si="7"/>
        <v>41.204136967834934</v>
      </c>
    </row>
    <row r="269" spans="18:19" x14ac:dyDescent="0.35">
      <c r="R269" s="3">
        <v>267</v>
      </c>
      <c r="S269" s="7">
        <f t="shared" ca="1" si="7"/>
        <v>49.24917435371006</v>
      </c>
    </row>
    <row r="270" spans="18:19" x14ac:dyDescent="0.35">
      <c r="R270" s="3">
        <v>268</v>
      </c>
      <c r="S270" s="7">
        <f t="shared" ca="1" si="7"/>
        <v>61.341985240737642</v>
      </c>
    </row>
    <row r="271" spans="18:19" x14ac:dyDescent="0.35">
      <c r="R271" s="3">
        <v>269</v>
      </c>
      <c r="S271" s="7">
        <f t="shared" ca="1" si="7"/>
        <v>46.09255826489656</v>
      </c>
    </row>
    <row r="272" spans="18:19" x14ac:dyDescent="0.35">
      <c r="R272" s="3">
        <v>270</v>
      </c>
      <c r="S272" s="7">
        <f t="shared" ca="1" si="7"/>
        <v>49.21295620557099</v>
      </c>
    </row>
    <row r="273" spans="18:19" x14ac:dyDescent="0.35">
      <c r="R273" s="3">
        <v>271</v>
      </c>
      <c r="S273" s="7">
        <f t="shared" ca="1" si="7"/>
        <v>55.365148876958941</v>
      </c>
    </row>
    <row r="274" spans="18:19" x14ac:dyDescent="0.35">
      <c r="R274" s="3">
        <v>272</v>
      </c>
      <c r="S274" s="7">
        <f t="shared" ca="1" si="7"/>
        <v>54.223958929970195</v>
      </c>
    </row>
    <row r="275" spans="18:19" x14ac:dyDescent="0.35">
      <c r="R275" s="3">
        <v>273</v>
      </c>
      <c r="S275" s="7">
        <f t="shared" ca="1" si="7"/>
        <v>57.094961851627303</v>
      </c>
    </row>
    <row r="276" spans="18:19" x14ac:dyDescent="0.35">
      <c r="R276" s="3">
        <v>274</v>
      </c>
      <c r="S276" s="7">
        <f t="shared" ca="1" si="7"/>
        <v>51.284732637371945</v>
      </c>
    </row>
    <row r="277" spans="18:19" x14ac:dyDescent="0.35">
      <c r="R277" s="3">
        <v>275</v>
      </c>
      <c r="S277" s="7">
        <f t="shared" ca="1" si="7"/>
        <v>46.573559157715366</v>
      </c>
    </row>
    <row r="278" spans="18:19" x14ac:dyDescent="0.35">
      <c r="R278" s="3">
        <v>276</v>
      </c>
      <c r="S278" s="7">
        <f t="shared" ca="1" si="7"/>
        <v>58.994713540531365</v>
      </c>
    </row>
    <row r="279" spans="18:19" x14ac:dyDescent="0.35">
      <c r="R279" s="3">
        <v>277</v>
      </c>
      <c r="S279" s="7">
        <f t="shared" ca="1" si="7"/>
        <v>48.216938586737903</v>
      </c>
    </row>
    <row r="280" spans="18:19" x14ac:dyDescent="0.35">
      <c r="R280" s="3">
        <v>278</v>
      </c>
      <c r="S280" s="7">
        <f t="shared" ca="1" si="7"/>
        <v>30.707413260458921</v>
      </c>
    </row>
    <row r="281" spans="18:19" x14ac:dyDescent="0.35">
      <c r="R281" s="3">
        <v>279</v>
      </c>
      <c r="S281" s="7">
        <f t="shared" ca="1" si="7"/>
        <v>29.649107762432369</v>
      </c>
    </row>
    <row r="282" spans="18:19" x14ac:dyDescent="0.35">
      <c r="R282" s="3">
        <v>280</v>
      </c>
      <c r="S282" s="7">
        <f t="shared" ca="1" si="7"/>
        <v>49.769497340059182</v>
      </c>
    </row>
    <row r="283" spans="18:19" x14ac:dyDescent="0.35">
      <c r="R283" s="3">
        <v>281</v>
      </c>
      <c r="S283" s="7">
        <f t="shared" ca="1" si="7"/>
        <v>32.321731560754117</v>
      </c>
    </row>
    <row r="284" spans="18:19" x14ac:dyDescent="0.35">
      <c r="R284" s="3">
        <v>282</v>
      </c>
      <c r="S284" s="7">
        <f t="shared" ca="1" si="7"/>
        <v>65.286908098075656</v>
      </c>
    </row>
    <row r="285" spans="18:19" x14ac:dyDescent="0.35">
      <c r="R285" s="3">
        <v>283</v>
      </c>
      <c r="S285" s="7">
        <f t="shared" ca="1" si="7"/>
        <v>48.301223296536278</v>
      </c>
    </row>
    <row r="286" spans="18:19" x14ac:dyDescent="0.35">
      <c r="R286" s="3">
        <v>284</v>
      </c>
      <c r="S286" s="7">
        <f t="shared" ca="1" si="7"/>
        <v>40.249544201073149</v>
      </c>
    </row>
    <row r="287" spans="18:19" x14ac:dyDescent="0.35">
      <c r="R287" s="3">
        <v>285</v>
      </c>
      <c r="S287" s="7">
        <f t="shared" ca="1" si="7"/>
        <v>41.522824518743185</v>
      </c>
    </row>
    <row r="288" spans="18:19" x14ac:dyDescent="0.35">
      <c r="R288" s="3">
        <v>286</v>
      </c>
      <c r="S288" s="7">
        <f t="shared" ca="1" si="7"/>
        <v>63.728402850731442</v>
      </c>
    </row>
    <row r="289" spans="18:19" x14ac:dyDescent="0.35">
      <c r="R289" s="3">
        <v>287</v>
      </c>
      <c r="S289" s="7">
        <f t="shared" ca="1" si="7"/>
        <v>46.989024668953164</v>
      </c>
    </row>
    <row r="290" spans="18:19" x14ac:dyDescent="0.35">
      <c r="R290" s="3">
        <v>288</v>
      </c>
      <c r="S290" s="7">
        <f t="shared" ca="1" si="7"/>
        <v>51.551286982747094</v>
      </c>
    </row>
    <row r="291" spans="18:19" x14ac:dyDescent="0.35">
      <c r="R291" s="3">
        <v>289</v>
      </c>
      <c r="S291" s="7">
        <f t="shared" ca="1" si="7"/>
        <v>41.956044851832175</v>
      </c>
    </row>
    <row r="292" spans="18:19" x14ac:dyDescent="0.35">
      <c r="R292" s="3">
        <v>290</v>
      </c>
      <c r="S292" s="7">
        <f t="shared" ca="1" si="7"/>
        <v>35.109862937638198</v>
      </c>
    </row>
    <row r="293" spans="18:19" x14ac:dyDescent="0.35">
      <c r="R293" s="3">
        <v>291</v>
      </c>
      <c r="S293" s="7">
        <f t="shared" ca="1" si="7"/>
        <v>52.33330158686173</v>
      </c>
    </row>
    <row r="294" spans="18:19" x14ac:dyDescent="0.35">
      <c r="R294" s="3">
        <v>292</v>
      </c>
      <c r="S294" s="7">
        <f t="shared" ca="1" si="7"/>
        <v>51.708310187657446</v>
      </c>
    </row>
    <row r="295" spans="18:19" x14ac:dyDescent="0.35">
      <c r="R295" s="3">
        <v>293</v>
      </c>
      <c r="S295" s="7">
        <f t="shared" ref="S295:S358" ca="1" si="8">NORMINV(RAND(),C$3,C$4)</f>
        <v>42.328521188306411</v>
      </c>
    </row>
    <row r="296" spans="18:19" x14ac:dyDescent="0.35">
      <c r="R296" s="3">
        <v>294</v>
      </c>
      <c r="S296" s="7">
        <f t="shared" ca="1" si="8"/>
        <v>46.285187177628593</v>
      </c>
    </row>
    <row r="297" spans="18:19" x14ac:dyDescent="0.35">
      <c r="R297" s="3">
        <v>295</v>
      </c>
      <c r="S297" s="7">
        <f t="shared" ca="1" si="8"/>
        <v>58.788673085631146</v>
      </c>
    </row>
    <row r="298" spans="18:19" x14ac:dyDescent="0.35">
      <c r="R298" s="3">
        <v>296</v>
      </c>
      <c r="S298" s="7">
        <f t="shared" ca="1" si="8"/>
        <v>57.437178613037304</v>
      </c>
    </row>
    <row r="299" spans="18:19" x14ac:dyDescent="0.35">
      <c r="R299" s="3">
        <v>297</v>
      </c>
      <c r="S299" s="7">
        <f t="shared" ca="1" si="8"/>
        <v>62.082988610884151</v>
      </c>
    </row>
    <row r="300" spans="18:19" x14ac:dyDescent="0.35">
      <c r="R300" s="3">
        <v>298</v>
      </c>
      <c r="S300" s="7">
        <f t="shared" ca="1" si="8"/>
        <v>51.296957283979296</v>
      </c>
    </row>
    <row r="301" spans="18:19" x14ac:dyDescent="0.35">
      <c r="R301" s="3">
        <v>299</v>
      </c>
      <c r="S301" s="7">
        <f t="shared" ca="1" si="8"/>
        <v>51.930759927452385</v>
      </c>
    </row>
    <row r="302" spans="18:19" x14ac:dyDescent="0.35">
      <c r="R302" s="3">
        <v>300</v>
      </c>
      <c r="S302" s="7">
        <f t="shared" ca="1" si="8"/>
        <v>38.783569131386514</v>
      </c>
    </row>
    <row r="303" spans="18:19" x14ac:dyDescent="0.35">
      <c r="R303" s="3">
        <v>301</v>
      </c>
      <c r="S303" s="7">
        <f t="shared" ca="1" si="8"/>
        <v>41.407273170941679</v>
      </c>
    </row>
    <row r="304" spans="18:19" x14ac:dyDescent="0.35">
      <c r="R304" s="3">
        <v>302</v>
      </c>
      <c r="S304" s="7">
        <f t="shared" ca="1" si="8"/>
        <v>40.468762277325204</v>
      </c>
    </row>
    <row r="305" spans="18:19" x14ac:dyDescent="0.35">
      <c r="R305" s="3">
        <v>303</v>
      </c>
      <c r="S305" s="7">
        <f t="shared" ca="1" si="8"/>
        <v>61.8093168377439</v>
      </c>
    </row>
    <row r="306" spans="18:19" x14ac:dyDescent="0.35">
      <c r="R306" s="3">
        <v>304</v>
      </c>
      <c r="S306" s="7">
        <f t="shared" ca="1" si="8"/>
        <v>49.047884161528074</v>
      </c>
    </row>
    <row r="307" spans="18:19" x14ac:dyDescent="0.35">
      <c r="R307" s="3">
        <v>305</v>
      </c>
      <c r="S307" s="7">
        <f t="shared" ca="1" si="8"/>
        <v>36.940409862434436</v>
      </c>
    </row>
    <row r="308" spans="18:19" x14ac:dyDescent="0.35">
      <c r="R308" s="3">
        <v>306</v>
      </c>
      <c r="S308" s="7">
        <f t="shared" ca="1" si="8"/>
        <v>29.43455077965076</v>
      </c>
    </row>
    <row r="309" spans="18:19" x14ac:dyDescent="0.35">
      <c r="R309" s="3">
        <v>307</v>
      </c>
      <c r="S309" s="7">
        <f t="shared" ca="1" si="8"/>
        <v>54.318711522514526</v>
      </c>
    </row>
    <row r="310" spans="18:19" x14ac:dyDescent="0.35">
      <c r="R310" s="3">
        <v>308</v>
      </c>
      <c r="S310" s="7">
        <f t="shared" ca="1" si="8"/>
        <v>36.597596196815999</v>
      </c>
    </row>
    <row r="311" spans="18:19" x14ac:dyDescent="0.35">
      <c r="R311" s="3">
        <v>309</v>
      </c>
      <c r="S311" s="7">
        <f t="shared" ca="1" si="8"/>
        <v>51.736311622326312</v>
      </c>
    </row>
    <row r="312" spans="18:19" x14ac:dyDescent="0.35">
      <c r="R312" s="3">
        <v>310</v>
      </c>
      <c r="S312" s="7">
        <f t="shared" ca="1" si="8"/>
        <v>58.826663525663889</v>
      </c>
    </row>
    <row r="313" spans="18:19" x14ac:dyDescent="0.35">
      <c r="R313" s="3">
        <v>311</v>
      </c>
      <c r="S313" s="7">
        <f t="shared" ca="1" si="8"/>
        <v>55.527916534012931</v>
      </c>
    </row>
    <row r="314" spans="18:19" x14ac:dyDescent="0.35">
      <c r="R314" s="3">
        <v>312</v>
      </c>
      <c r="S314" s="7">
        <f t="shared" ca="1" si="8"/>
        <v>53.506120481954945</v>
      </c>
    </row>
    <row r="315" spans="18:19" x14ac:dyDescent="0.35">
      <c r="R315" s="3">
        <v>313</v>
      </c>
      <c r="S315" s="7">
        <f t="shared" ca="1" si="8"/>
        <v>51.065213363360378</v>
      </c>
    </row>
    <row r="316" spans="18:19" x14ac:dyDescent="0.35">
      <c r="R316" s="3">
        <v>314</v>
      </c>
      <c r="S316" s="7">
        <f t="shared" ca="1" si="8"/>
        <v>35.052611799202992</v>
      </c>
    </row>
    <row r="317" spans="18:19" x14ac:dyDescent="0.35">
      <c r="R317" s="3">
        <v>315</v>
      </c>
      <c r="S317" s="7">
        <f t="shared" ca="1" si="8"/>
        <v>38.238372471923441</v>
      </c>
    </row>
    <row r="318" spans="18:19" x14ac:dyDescent="0.35">
      <c r="R318" s="3">
        <v>316</v>
      </c>
      <c r="S318" s="7">
        <f t="shared" ca="1" si="8"/>
        <v>49.057430574850869</v>
      </c>
    </row>
    <row r="319" spans="18:19" x14ac:dyDescent="0.35">
      <c r="R319" s="3">
        <v>317</v>
      </c>
      <c r="S319" s="7">
        <f t="shared" ca="1" si="8"/>
        <v>32.658529924122199</v>
      </c>
    </row>
    <row r="320" spans="18:19" x14ac:dyDescent="0.35">
      <c r="R320" s="3">
        <v>318</v>
      </c>
      <c r="S320" s="7">
        <f t="shared" ca="1" si="8"/>
        <v>68.825357523238253</v>
      </c>
    </row>
    <row r="321" spans="18:19" x14ac:dyDescent="0.35">
      <c r="R321" s="3">
        <v>319</v>
      </c>
      <c r="S321" s="7">
        <f t="shared" ca="1" si="8"/>
        <v>54.999927559689539</v>
      </c>
    </row>
    <row r="322" spans="18:19" x14ac:dyDescent="0.35">
      <c r="R322" s="3">
        <v>320</v>
      </c>
      <c r="S322" s="7">
        <f t="shared" ca="1" si="8"/>
        <v>21.931997908857227</v>
      </c>
    </row>
    <row r="323" spans="18:19" x14ac:dyDescent="0.35">
      <c r="R323" s="3">
        <v>321</v>
      </c>
      <c r="S323" s="7">
        <f t="shared" ca="1" si="8"/>
        <v>56.783652780223647</v>
      </c>
    </row>
    <row r="324" spans="18:19" x14ac:dyDescent="0.35">
      <c r="R324" s="3">
        <v>322</v>
      </c>
      <c r="S324" s="7">
        <f t="shared" ca="1" si="8"/>
        <v>41.495086914773438</v>
      </c>
    </row>
    <row r="325" spans="18:19" x14ac:dyDescent="0.35">
      <c r="R325" s="3">
        <v>323</v>
      </c>
      <c r="S325" s="7">
        <f t="shared" ca="1" si="8"/>
        <v>66.852873877593339</v>
      </c>
    </row>
    <row r="326" spans="18:19" x14ac:dyDescent="0.35">
      <c r="R326" s="3">
        <v>324</v>
      </c>
      <c r="S326" s="7">
        <f t="shared" ca="1" si="8"/>
        <v>43.403043780596725</v>
      </c>
    </row>
    <row r="327" spans="18:19" x14ac:dyDescent="0.35">
      <c r="R327" s="3">
        <v>325</v>
      </c>
      <c r="S327" s="7">
        <f t="shared" ca="1" si="8"/>
        <v>51.07054074291031</v>
      </c>
    </row>
    <row r="328" spans="18:19" x14ac:dyDescent="0.35">
      <c r="R328" s="3">
        <v>326</v>
      </c>
      <c r="S328" s="7">
        <f t="shared" ca="1" si="8"/>
        <v>33.951951952879142</v>
      </c>
    </row>
    <row r="329" spans="18:19" x14ac:dyDescent="0.35">
      <c r="R329" s="3">
        <v>327</v>
      </c>
      <c r="S329" s="7">
        <f t="shared" ca="1" si="8"/>
        <v>34.711225512317071</v>
      </c>
    </row>
    <row r="330" spans="18:19" x14ac:dyDescent="0.35">
      <c r="R330" s="3">
        <v>328</v>
      </c>
      <c r="S330" s="7">
        <f t="shared" ca="1" si="8"/>
        <v>38.464490226415052</v>
      </c>
    </row>
    <row r="331" spans="18:19" x14ac:dyDescent="0.35">
      <c r="R331" s="3">
        <v>329</v>
      </c>
      <c r="S331" s="7">
        <f t="shared" ca="1" si="8"/>
        <v>37.535610120568911</v>
      </c>
    </row>
    <row r="332" spans="18:19" x14ac:dyDescent="0.35">
      <c r="R332" s="3">
        <v>330</v>
      </c>
      <c r="S332" s="7">
        <f t="shared" ca="1" si="8"/>
        <v>39.057436701597496</v>
      </c>
    </row>
    <row r="333" spans="18:19" x14ac:dyDescent="0.35">
      <c r="R333" s="3">
        <v>331</v>
      </c>
      <c r="S333" s="7">
        <f t="shared" ca="1" si="8"/>
        <v>58.661989048513888</v>
      </c>
    </row>
    <row r="334" spans="18:19" x14ac:dyDescent="0.35">
      <c r="R334" s="3">
        <v>332</v>
      </c>
      <c r="S334" s="7">
        <f t="shared" ca="1" si="8"/>
        <v>49.471045251406821</v>
      </c>
    </row>
    <row r="335" spans="18:19" x14ac:dyDescent="0.35">
      <c r="R335" s="3">
        <v>333</v>
      </c>
      <c r="S335" s="7">
        <f t="shared" ca="1" si="8"/>
        <v>52.441796254106485</v>
      </c>
    </row>
    <row r="336" spans="18:19" x14ac:dyDescent="0.35">
      <c r="R336" s="3">
        <v>334</v>
      </c>
      <c r="S336" s="7">
        <f t="shared" ca="1" si="8"/>
        <v>52.487576300197603</v>
      </c>
    </row>
    <row r="337" spans="18:19" x14ac:dyDescent="0.35">
      <c r="R337" s="3">
        <v>335</v>
      </c>
      <c r="S337" s="7">
        <f t="shared" ca="1" si="8"/>
        <v>46.267392545587271</v>
      </c>
    </row>
    <row r="338" spans="18:19" x14ac:dyDescent="0.35">
      <c r="R338" s="3">
        <v>336</v>
      </c>
      <c r="S338" s="7">
        <f t="shared" ca="1" si="8"/>
        <v>53.458791026880483</v>
      </c>
    </row>
    <row r="339" spans="18:19" x14ac:dyDescent="0.35">
      <c r="R339" s="3">
        <v>337</v>
      </c>
      <c r="S339" s="7">
        <f t="shared" ca="1" si="8"/>
        <v>47.256507508159331</v>
      </c>
    </row>
    <row r="340" spans="18:19" x14ac:dyDescent="0.35">
      <c r="R340" s="3">
        <v>338</v>
      </c>
      <c r="S340" s="7">
        <f t="shared" ca="1" si="8"/>
        <v>47.793765137734738</v>
      </c>
    </row>
    <row r="341" spans="18:19" x14ac:dyDescent="0.35">
      <c r="R341" s="3">
        <v>339</v>
      </c>
      <c r="S341" s="7">
        <f t="shared" ca="1" si="8"/>
        <v>52.301718877395899</v>
      </c>
    </row>
    <row r="342" spans="18:19" x14ac:dyDescent="0.35">
      <c r="R342" s="3">
        <v>340</v>
      </c>
      <c r="S342" s="7">
        <f t="shared" ca="1" si="8"/>
        <v>64.519928041204494</v>
      </c>
    </row>
    <row r="343" spans="18:19" x14ac:dyDescent="0.35">
      <c r="R343" s="3">
        <v>341</v>
      </c>
      <c r="S343" s="7">
        <f t="shared" ca="1" si="8"/>
        <v>59.886366698531795</v>
      </c>
    </row>
    <row r="344" spans="18:19" x14ac:dyDescent="0.35">
      <c r="R344" s="3">
        <v>342</v>
      </c>
      <c r="S344" s="7">
        <f t="shared" ca="1" si="8"/>
        <v>38.16434692569856</v>
      </c>
    </row>
    <row r="345" spans="18:19" x14ac:dyDescent="0.35">
      <c r="R345" s="3">
        <v>343</v>
      </c>
      <c r="S345" s="7">
        <f t="shared" ca="1" si="8"/>
        <v>50.514042316426263</v>
      </c>
    </row>
    <row r="346" spans="18:19" x14ac:dyDescent="0.35">
      <c r="R346" s="3">
        <v>344</v>
      </c>
      <c r="S346" s="7">
        <f t="shared" ca="1" si="8"/>
        <v>58.07605843268</v>
      </c>
    </row>
    <row r="347" spans="18:19" x14ac:dyDescent="0.35">
      <c r="R347" s="3">
        <v>345</v>
      </c>
      <c r="S347" s="7">
        <f t="shared" ca="1" si="8"/>
        <v>48.077866333406995</v>
      </c>
    </row>
    <row r="348" spans="18:19" x14ac:dyDescent="0.35">
      <c r="R348" s="3">
        <v>346</v>
      </c>
      <c r="S348" s="7">
        <f t="shared" ca="1" si="8"/>
        <v>30.972936416878245</v>
      </c>
    </row>
    <row r="349" spans="18:19" x14ac:dyDescent="0.35">
      <c r="R349" s="3">
        <v>347</v>
      </c>
      <c r="S349" s="7">
        <f t="shared" ca="1" si="8"/>
        <v>47.679136181688591</v>
      </c>
    </row>
    <row r="350" spans="18:19" x14ac:dyDescent="0.35">
      <c r="R350" s="3">
        <v>348</v>
      </c>
      <c r="S350" s="7">
        <f t="shared" ca="1" si="8"/>
        <v>66.411449034898538</v>
      </c>
    </row>
    <row r="351" spans="18:19" x14ac:dyDescent="0.35">
      <c r="R351" s="3">
        <v>349</v>
      </c>
      <c r="S351" s="7">
        <f t="shared" ca="1" si="8"/>
        <v>40.912965305563034</v>
      </c>
    </row>
    <row r="352" spans="18:19" x14ac:dyDescent="0.35">
      <c r="R352" s="3">
        <v>350</v>
      </c>
      <c r="S352" s="7">
        <f t="shared" ca="1" si="8"/>
        <v>45.261099400510936</v>
      </c>
    </row>
    <row r="353" spans="18:19" x14ac:dyDescent="0.35">
      <c r="R353" s="3">
        <v>351</v>
      </c>
      <c r="S353" s="7">
        <f t="shared" ca="1" si="8"/>
        <v>53.693595655136335</v>
      </c>
    </row>
    <row r="354" spans="18:19" x14ac:dyDescent="0.35">
      <c r="R354" s="3">
        <v>352</v>
      </c>
      <c r="S354" s="7">
        <f t="shared" ca="1" si="8"/>
        <v>52.325837479695977</v>
      </c>
    </row>
    <row r="355" spans="18:19" x14ac:dyDescent="0.35">
      <c r="R355" s="3">
        <v>353</v>
      </c>
      <c r="S355" s="7">
        <f t="shared" ca="1" si="8"/>
        <v>46.221341426514591</v>
      </c>
    </row>
    <row r="356" spans="18:19" x14ac:dyDescent="0.35">
      <c r="R356" s="3">
        <v>354</v>
      </c>
      <c r="S356" s="7">
        <f t="shared" ca="1" si="8"/>
        <v>53.845552117343651</v>
      </c>
    </row>
    <row r="357" spans="18:19" x14ac:dyDescent="0.35">
      <c r="R357" s="3">
        <v>355</v>
      </c>
      <c r="S357" s="7">
        <f t="shared" ca="1" si="8"/>
        <v>47.646148421183604</v>
      </c>
    </row>
    <row r="358" spans="18:19" x14ac:dyDescent="0.35">
      <c r="R358" s="3">
        <v>356</v>
      </c>
      <c r="S358" s="7">
        <f t="shared" ca="1" si="8"/>
        <v>54.282010727962962</v>
      </c>
    </row>
    <row r="359" spans="18:19" x14ac:dyDescent="0.35">
      <c r="R359" s="3">
        <v>357</v>
      </c>
      <c r="S359" s="7">
        <f t="shared" ref="S359:S422" ca="1" si="9">NORMINV(RAND(),C$3,C$4)</f>
        <v>50.775251823015203</v>
      </c>
    </row>
    <row r="360" spans="18:19" x14ac:dyDescent="0.35">
      <c r="R360" s="3">
        <v>358</v>
      </c>
      <c r="S360" s="7">
        <f t="shared" ca="1" si="9"/>
        <v>50.4042610800932</v>
      </c>
    </row>
    <row r="361" spans="18:19" x14ac:dyDescent="0.35">
      <c r="R361" s="3">
        <v>359</v>
      </c>
      <c r="S361" s="7">
        <f t="shared" ca="1" si="9"/>
        <v>62.507390846566587</v>
      </c>
    </row>
    <row r="362" spans="18:19" x14ac:dyDescent="0.35">
      <c r="R362" s="3">
        <v>360</v>
      </c>
      <c r="S362" s="7">
        <f t="shared" ca="1" si="9"/>
        <v>57.274780766637463</v>
      </c>
    </row>
    <row r="363" spans="18:19" x14ac:dyDescent="0.35">
      <c r="R363" s="3">
        <v>361</v>
      </c>
      <c r="S363" s="7">
        <f t="shared" ca="1" si="9"/>
        <v>33.569145403923059</v>
      </c>
    </row>
    <row r="364" spans="18:19" x14ac:dyDescent="0.35">
      <c r="R364" s="3">
        <v>362</v>
      </c>
      <c r="S364" s="7">
        <f t="shared" ca="1" si="9"/>
        <v>48.403246833726563</v>
      </c>
    </row>
    <row r="365" spans="18:19" x14ac:dyDescent="0.35">
      <c r="R365" s="3">
        <v>363</v>
      </c>
      <c r="S365" s="7">
        <f t="shared" ca="1" si="9"/>
        <v>48.888268711469557</v>
      </c>
    </row>
    <row r="366" spans="18:19" x14ac:dyDescent="0.35">
      <c r="R366" s="3">
        <v>364</v>
      </c>
      <c r="S366" s="7">
        <f t="shared" ca="1" si="9"/>
        <v>34.049425544344039</v>
      </c>
    </row>
    <row r="367" spans="18:19" x14ac:dyDescent="0.35">
      <c r="R367" s="3">
        <v>365</v>
      </c>
      <c r="S367" s="7">
        <f t="shared" ca="1" si="9"/>
        <v>45.896297153873284</v>
      </c>
    </row>
    <row r="368" spans="18:19" x14ac:dyDescent="0.35">
      <c r="R368" s="3">
        <v>366</v>
      </c>
      <c r="S368" s="7">
        <f t="shared" ca="1" si="9"/>
        <v>60.660525570730698</v>
      </c>
    </row>
    <row r="369" spans="18:19" x14ac:dyDescent="0.35">
      <c r="R369" s="3">
        <v>367</v>
      </c>
      <c r="S369" s="7">
        <f t="shared" ca="1" si="9"/>
        <v>55.886616783346355</v>
      </c>
    </row>
    <row r="370" spans="18:19" x14ac:dyDescent="0.35">
      <c r="R370" s="3">
        <v>368</v>
      </c>
      <c r="S370" s="7">
        <f t="shared" ca="1" si="9"/>
        <v>37.519802135079715</v>
      </c>
    </row>
    <row r="371" spans="18:19" x14ac:dyDescent="0.35">
      <c r="R371" s="3">
        <v>369</v>
      </c>
      <c r="S371" s="7">
        <f t="shared" ca="1" si="9"/>
        <v>67.054724605829975</v>
      </c>
    </row>
    <row r="372" spans="18:19" x14ac:dyDescent="0.35">
      <c r="R372" s="3">
        <v>370</v>
      </c>
      <c r="S372" s="7">
        <f t="shared" ca="1" si="9"/>
        <v>67.656531733211665</v>
      </c>
    </row>
    <row r="373" spans="18:19" x14ac:dyDescent="0.35">
      <c r="R373" s="3">
        <v>371</v>
      </c>
      <c r="S373" s="7">
        <f t="shared" ca="1" si="9"/>
        <v>54.386670676908622</v>
      </c>
    </row>
    <row r="374" spans="18:19" x14ac:dyDescent="0.35">
      <c r="R374" s="3">
        <v>372</v>
      </c>
      <c r="S374" s="7">
        <f t="shared" ca="1" si="9"/>
        <v>60.348105878781674</v>
      </c>
    </row>
    <row r="375" spans="18:19" x14ac:dyDescent="0.35">
      <c r="R375" s="3">
        <v>373</v>
      </c>
      <c r="S375" s="7">
        <f t="shared" ca="1" si="9"/>
        <v>53.495788234489176</v>
      </c>
    </row>
    <row r="376" spans="18:19" x14ac:dyDescent="0.35">
      <c r="R376" s="3">
        <v>374</v>
      </c>
      <c r="S376" s="7">
        <f t="shared" ca="1" si="9"/>
        <v>46.606573455054125</v>
      </c>
    </row>
    <row r="377" spans="18:19" x14ac:dyDescent="0.35">
      <c r="R377" s="3">
        <v>375</v>
      </c>
      <c r="S377" s="7">
        <f t="shared" ca="1" si="9"/>
        <v>48.304292660934948</v>
      </c>
    </row>
    <row r="378" spans="18:19" x14ac:dyDescent="0.35">
      <c r="R378" s="3">
        <v>376</v>
      </c>
      <c r="S378" s="7">
        <f t="shared" ca="1" si="9"/>
        <v>40.700310412137469</v>
      </c>
    </row>
    <row r="379" spans="18:19" x14ac:dyDescent="0.35">
      <c r="R379" s="3">
        <v>377</v>
      </c>
      <c r="S379" s="7">
        <f t="shared" ca="1" si="9"/>
        <v>39.595860812693502</v>
      </c>
    </row>
    <row r="380" spans="18:19" x14ac:dyDescent="0.35">
      <c r="R380" s="3">
        <v>378</v>
      </c>
      <c r="S380" s="7">
        <f t="shared" ca="1" si="9"/>
        <v>41.497440882580406</v>
      </c>
    </row>
    <row r="381" spans="18:19" x14ac:dyDescent="0.35">
      <c r="R381" s="3">
        <v>379</v>
      </c>
      <c r="S381" s="7">
        <f t="shared" ca="1" si="9"/>
        <v>46.13866098343442</v>
      </c>
    </row>
    <row r="382" spans="18:19" x14ac:dyDescent="0.35">
      <c r="R382" s="3">
        <v>380</v>
      </c>
      <c r="S382" s="7">
        <f t="shared" ca="1" si="9"/>
        <v>53.155145919023056</v>
      </c>
    </row>
    <row r="383" spans="18:19" x14ac:dyDescent="0.35">
      <c r="R383" s="3">
        <v>381</v>
      </c>
      <c r="S383" s="7">
        <f t="shared" ca="1" si="9"/>
        <v>32.29653014899506</v>
      </c>
    </row>
    <row r="384" spans="18:19" x14ac:dyDescent="0.35">
      <c r="R384" s="3">
        <v>382</v>
      </c>
      <c r="S384" s="7">
        <f t="shared" ca="1" si="9"/>
        <v>53.183442879876381</v>
      </c>
    </row>
    <row r="385" spans="18:19" x14ac:dyDescent="0.35">
      <c r="R385" s="3">
        <v>383</v>
      </c>
      <c r="S385" s="7">
        <f t="shared" ca="1" si="9"/>
        <v>50.270437333129017</v>
      </c>
    </row>
    <row r="386" spans="18:19" x14ac:dyDescent="0.35">
      <c r="R386" s="3">
        <v>384</v>
      </c>
      <c r="S386" s="7">
        <f t="shared" ca="1" si="9"/>
        <v>54.730332561006854</v>
      </c>
    </row>
    <row r="387" spans="18:19" x14ac:dyDescent="0.35">
      <c r="R387" s="3">
        <v>385</v>
      </c>
      <c r="S387" s="7">
        <f t="shared" ca="1" si="9"/>
        <v>48.580761958905036</v>
      </c>
    </row>
    <row r="388" spans="18:19" x14ac:dyDescent="0.35">
      <c r="R388" s="3">
        <v>386</v>
      </c>
      <c r="S388" s="7">
        <f t="shared" ca="1" si="9"/>
        <v>56.817780466858267</v>
      </c>
    </row>
    <row r="389" spans="18:19" x14ac:dyDescent="0.35">
      <c r="R389" s="3">
        <v>387</v>
      </c>
      <c r="S389" s="7">
        <f t="shared" ca="1" si="9"/>
        <v>53.652420767155881</v>
      </c>
    </row>
    <row r="390" spans="18:19" x14ac:dyDescent="0.35">
      <c r="R390" s="3">
        <v>388</v>
      </c>
      <c r="S390" s="7">
        <f t="shared" ca="1" si="9"/>
        <v>51.662808328933281</v>
      </c>
    </row>
    <row r="391" spans="18:19" x14ac:dyDescent="0.35">
      <c r="R391" s="3">
        <v>389</v>
      </c>
      <c r="S391" s="7">
        <f t="shared" ca="1" si="9"/>
        <v>46.65749189774931</v>
      </c>
    </row>
    <row r="392" spans="18:19" x14ac:dyDescent="0.35">
      <c r="R392" s="3">
        <v>390</v>
      </c>
      <c r="S392" s="7">
        <f t="shared" ca="1" si="9"/>
        <v>49.775310090291107</v>
      </c>
    </row>
    <row r="393" spans="18:19" x14ac:dyDescent="0.35">
      <c r="R393" s="3">
        <v>391</v>
      </c>
      <c r="S393" s="7">
        <f t="shared" ca="1" si="9"/>
        <v>47.947060906837194</v>
      </c>
    </row>
    <row r="394" spans="18:19" x14ac:dyDescent="0.35">
      <c r="R394" s="3">
        <v>392</v>
      </c>
      <c r="S394" s="7">
        <f t="shared" ca="1" si="9"/>
        <v>55.026303872136005</v>
      </c>
    </row>
    <row r="395" spans="18:19" x14ac:dyDescent="0.35">
      <c r="R395" s="3">
        <v>393</v>
      </c>
      <c r="S395" s="7">
        <f t="shared" ca="1" si="9"/>
        <v>50.981443000196364</v>
      </c>
    </row>
    <row r="396" spans="18:19" x14ac:dyDescent="0.35">
      <c r="R396" s="3">
        <v>394</v>
      </c>
      <c r="S396" s="7">
        <f t="shared" ca="1" si="9"/>
        <v>52.53303591056261</v>
      </c>
    </row>
    <row r="397" spans="18:19" x14ac:dyDescent="0.35">
      <c r="R397" s="3">
        <v>395</v>
      </c>
      <c r="S397" s="7">
        <f t="shared" ca="1" si="9"/>
        <v>65.591423697276625</v>
      </c>
    </row>
    <row r="398" spans="18:19" x14ac:dyDescent="0.35">
      <c r="R398" s="3">
        <v>396</v>
      </c>
      <c r="S398" s="7">
        <f t="shared" ca="1" si="9"/>
        <v>46.479736099104741</v>
      </c>
    </row>
    <row r="399" spans="18:19" x14ac:dyDescent="0.35">
      <c r="R399" s="3">
        <v>397</v>
      </c>
      <c r="S399" s="7">
        <f t="shared" ca="1" si="9"/>
        <v>42.559297213664848</v>
      </c>
    </row>
    <row r="400" spans="18:19" x14ac:dyDescent="0.35">
      <c r="R400" s="3">
        <v>398</v>
      </c>
      <c r="S400" s="7">
        <f t="shared" ca="1" si="9"/>
        <v>41.099018432830228</v>
      </c>
    </row>
    <row r="401" spans="18:19" x14ac:dyDescent="0.35">
      <c r="R401" s="3">
        <v>399</v>
      </c>
      <c r="S401" s="7">
        <f t="shared" ca="1" si="9"/>
        <v>74.367659497848166</v>
      </c>
    </row>
    <row r="402" spans="18:19" x14ac:dyDescent="0.35">
      <c r="R402" s="3">
        <v>400</v>
      </c>
      <c r="S402" s="7">
        <f t="shared" ca="1" si="9"/>
        <v>58.001173487269028</v>
      </c>
    </row>
    <row r="403" spans="18:19" x14ac:dyDescent="0.35">
      <c r="R403" s="3">
        <v>401</v>
      </c>
      <c r="S403" s="7">
        <f t="shared" ca="1" si="9"/>
        <v>47.22937969201697</v>
      </c>
    </row>
    <row r="404" spans="18:19" x14ac:dyDescent="0.35">
      <c r="R404" s="3">
        <v>402</v>
      </c>
      <c r="S404" s="7">
        <f t="shared" ca="1" si="9"/>
        <v>56.549348287940802</v>
      </c>
    </row>
    <row r="405" spans="18:19" x14ac:dyDescent="0.35">
      <c r="R405" s="3">
        <v>403</v>
      </c>
      <c r="S405" s="7">
        <f t="shared" ca="1" si="9"/>
        <v>45.535545489479333</v>
      </c>
    </row>
    <row r="406" spans="18:19" x14ac:dyDescent="0.35">
      <c r="R406" s="3">
        <v>404</v>
      </c>
      <c r="S406" s="7">
        <f t="shared" ca="1" si="9"/>
        <v>53.372352419265567</v>
      </c>
    </row>
    <row r="407" spans="18:19" x14ac:dyDescent="0.35">
      <c r="R407" s="3">
        <v>405</v>
      </c>
      <c r="S407" s="7">
        <f t="shared" ca="1" si="9"/>
        <v>47.866552552743464</v>
      </c>
    </row>
    <row r="408" spans="18:19" x14ac:dyDescent="0.35">
      <c r="R408" s="3">
        <v>406</v>
      </c>
      <c r="S408" s="7">
        <f t="shared" ca="1" si="9"/>
        <v>37.738352908355836</v>
      </c>
    </row>
    <row r="409" spans="18:19" x14ac:dyDescent="0.35">
      <c r="R409" s="3">
        <v>407</v>
      </c>
      <c r="S409" s="7">
        <f t="shared" ca="1" si="9"/>
        <v>48.84397144839199</v>
      </c>
    </row>
    <row r="410" spans="18:19" x14ac:dyDescent="0.35">
      <c r="R410" s="3">
        <v>408</v>
      </c>
      <c r="S410" s="7">
        <f t="shared" ca="1" si="9"/>
        <v>61.235780899851889</v>
      </c>
    </row>
    <row r="411" spans="18:19" x14ac:dyDescent="0.35">
      <c r="R411" s="3">
        <v>409</v>
      </c>
      <c r="S411" s="7">
        <f t="shared" ca="1" si="9"/>
        <v>59.011988203722595</v>
      </c>
    </row>
    <row r="412" spans="18:19" x14ac:dyDescent="0.35">
      <c r="R412" s="3">
        <v>410</v>
      </c>
      <c r="S412" s="7">
        <f t="shared" ca="1" si="9"/>
        <v>66.296681865506514</v>
      </c>
    </row>
    <row r="413" spans="18:19" x14ac:dyDescent="0.35">
      <c r="R413" s="3">
        <v>411</v>
      </c>
      <c r="S413" s="7">
        <f t="shared" ca="1" si="9"/>
        <v>33.077220475256183</v>
      </c>
    </row>
    <row r="414" spans="18:19" x14ac:dyDescent="0.35">
      <c r="R414" s="3">
        <v>412</v>
      </c>
      <c r="S414" s="7">
        <f t="shared" ca="1" si="9"/>
        <v>57.057854661763166</v>
      </c>
    </row>
    <row r="415" spans="18:19" x14ac:dyDescent="0.35">
      <c r="R415" s="3">
        <v>413</v>
      </c>
      <c r="S415" s="7">
        <f t="shared" ca="1" si="9"/>
        <v>61.709759825044017</v>
      </c>
    </row>
    <row r="416" spans="18:19" x14ac:dyDescent="0.35">
      <c r="R416" s="3">
        <v>414</v>
      </c>
      <c r="S416" s="7">
        <f t="shared" ca="1" si="9"/>
        <v>42.951613317517889</v>
      </c>
    </row>
    <row r="417" spans="18:19" x14ac:dyDescent="0.35">
      <c r="R417" s="3">
        <v>415</v>
      </c>
      <c r="S417" s="7">
        <f t="shared" ca="1" si="9"/>
        <v>55.314520418623708</v>
      </c>
    </row>
    <row r="418" spans="18:19" x14ac:dyDescent="0.35">
      <c r="R418" s="3">
        <v>416</v>
      </c>
      <c r="S418" s="7">
        <f t="shared" ca="1" si="9"/>
        <v>59.308050469985474</v>
      </c>
    </row>
    <row r="419" spans="18:19" x14ac:dyDescent="0.35">
      <c r="R419" s="3">
        <v>417</v>
      </c>
      <c r="S419" s="7">
        <f t="shared" ca="1" si="9"/>
        <v>42.571401337858575</v>
      </c>
    </row>
    <row r="420" spans="18:19" x14ac:dyDescent="0.35">
      <c r="R420" s="3">
        <v>418</v>
      </c>
      <c r="S420" s="7">
        <f t="shared" ca="1" si="9"/>
        <v>46.15614602899781</v>
      </c>
    </row>
    <row r="421" spans="18:19" x14ac:dyDescent="0.35">
      <c r="R421" s="3">
        <v>419</v>
      </c>
      <c r="S421" s="7">
        <f t="shared" ca="1" si="9"/>
        <v>51.907895890225106</v>
      </c>
    </row>
    <row r="422" spans="18:19" x14ac:dyDescent="0.35">
      <c r="R422" s="3">
        <v>420</v>
      </c>
      <c r="S422" s="7">
        <f t="shared" ca="1" si="9"/>
        <v>39.539173160007302</v>
      </c>
    </row>
    <row r="423" spans="18:19" x14ac:dyDescent="0.35">
      <c r="R423" s="3">
        <v>421</v>
      </c>
      <c r="S423" s="7">
        <f t="shared" ref="S423:S486" ca="1" si="10">NORMINV(RAND(),C$3,C$4)</f>
        <v>36.588988679565112</v>
      </c>
    </row>
    <row r="424" spans="18:19" x14ac:dyDescent="0.35">
      <c r="R424" s="3">
        <v>422</v>
      </c>
      <c r="S424" s="7">
        <f t="shared" ca="1" si="10"/>
        <v>55.77591080768341</v>
      </c>
    </row>
    <row r="425" spans="18:19" x14ac:dyDescent="0.35">
      <c r="R425" s="3">
        <v>423</v>
      </c>
      <c r="S425" s="7">
        <f t="shared" ca="1" si="10"/>
        <v>43.341097246517478</v>
      </c>
    </row>
    <row r="426" spans="18:19" x14ac:dyDescent="0.35">
      <c r="R426" s="3">
        <v>424</v>
      </c>
      <c r="S426" s="7">
        <f t="shared" ca="1" si="10"/>
        <v>56.745095003101838</v>
      </c>
    </row>
    <row r="427" spans="18:19" x14ac:dyDescent="0.35">
      <c r="R427" s="3">
        <v>425</v>
      </c>
      <c r="S427" s="7">
        <f t="shared" ca="1" si="10"/>
        <v>43.18794675266539</v>
      </c>
    </row>
    <row r="428" spans="18:19" x14ac:dyDescent="0.35">
      <c r="R428" s="3">
        <v>426</v>
      </c>
      <c r="S428" s="7">
        <f t="shared" ca="1" si="10"/>
        <v>58.487438766725191</v>
      </c>
    </row>
    <row r="429" spans="18:19" x14ac:dyDescent="0.35">
      <c r="R429" s="3">
        <v>427</v>
      </c>
      <c r="S429" s="7">
        <f t="shared" ca="1" si="10"/>
        <v>32.72493363674019</v>
      </c>
    </row>
    <row r="430" spans="18:19" x14ac:dyDescent="0.35">
      <c r="R430" s="3">
        <v>428</v>
      </c>
      <c r="S430" s="7">
        <f t="shared" ca="1" si="10"/>
        <v>32.690750369997026</v>
      </c>
    </row>
    <row r="431" spans="18:19" x14ac:dyDescent="0.35">
      <c r="R431" s="3">
        <v>429</v>
      </c>
      <c r="S431" s="7">
        <f t="shared" ca="1" si="10"/>
        <v>49.854178798616836</v>
      </c>
    </row>
    <row r="432" spans="18:19" x14ac:dyDescent="0.35">
      <c r="R432" s="3">
        <v>430</v>
      </c>
      <c r="S432" s="7">
        <f t="shared" ca="1" si="10"/>
        <v>52.812367588649472</v>
      </c>
    </row>
    <row r="433" spans="18:19" x14ac:dyDescent="0.35">
      <c r="R433" s="3">
        <v>431</v>
      </c>
      <c r="S433" s="7">
        <f t="shared" ca="1" si="10"/>
        <v>58.838141671913178</v>
      </c>
    </row>
    <row r="434" spans="18:19" x14ac:dyDescent="0.35">
      <c r="R434" s="3">
        <v>432</v>
      </c>
      <c r="S434" s="7">
        <f t="shared" ca="1" si="10"/>
        <v>39.451965377214265</v>
      </c>
    </row>
    <row r="435" spans="18:19" x14ac:dyDescent="0.35">
      <c r="R435" s="3">
        <v>433</v>
      </c>
      <c r="S435" s="7">
        <f t="shared" ca="1" si="10"/>
        <v>50.791879039753113</v>
      </c>
    </row>
    <row r="436" spans="18:19" x14ac:dyDescent="0.35">
      <c r="R436" s="3">
        <v>434</v>
      </c>
      <c r="S436" s="7">
        <f t="shared" ca="1" si="10"/>
        <v>48.713650541278142</v>
      </c>
    </row>
    <row r="437" spans="18:19" x14ac:dyDescent="0.35">
      <c r="R437" s="3">
        <v>435</v>
      </c>
      <c r="S437" s="7">
        <f t="shared" ca="1" si="10"/>
        <v>55.201145388712568</v>
      </c>
    </row>
    <row r="438" spans="18:19" x14ac:dyDescent="0.35">
      <c r="R438" s="3">
        <v>436</v>
      </c>
      <c r="S438" s="7">
        <f t="shared" ca="1" si="10"/>
        <v>49.07962392180923</v>
      </c>
    </row>
    <row r="439" spans="18:19" x14ac:dyDescent="0.35">
      <c r="R439" s="3">
        <v>437</v>
      </c>
      <c r="S439" s="7">
        <f t="shared" ca="1" si="10"/>
        <v>48.58346306620308</v>
      </c>
    </row>
    <row r="440" spans="18:19" x14ac:dyDescent="0.35">
      <c r="R440" s="3">
        <v>438</v>
      </c>
      <c r="S440" s="7">
        <f t="shared" ca="1" si="10"/>
        <v>61.481314832572608</v>
      </c>
    </row>
    <row r="441" spans="18:19" x14ac:dyDescent="0.35">
      <c r="R441" s="3">
        <v>439</v>
      </c>
      <c r="S441" s="7">
        <f t="shared" ca="1" si="10"/>
        <v>55.599281247905708</v>
      </c>
    </row>
    <row r="442" spans="18:19" x14ac:dyDescent="0.35">
      <c r="R442" s="3">
        <v>440</v>
      </c>
      <c r="S442" s="7">
        <f t="shared" ca="1" si="10"/>
        <v>40.316981336807473</v>
      </c>
    </row>
    <row r="443" spans="18:19" x14ac:dyDescent="0.35">
      <c r="R443" s="3">
        <v>441</v>
      </c>
      <c r="S443" s="7">
        <f t="shared" ca="1" si="10"/>
        <v>52.02077211004962</v>
      </c>
    </row>
    <row r="444" spans="18:19" x14ac:dyDescent="0.35">
      <c r="R444" s="3">
        <v>442</v>
      </c>
      <c r="S444" s="7">
        <f t="shared" ca="1" si="10"/>
        <v>52.582746764570466</v>
      </c>
    </row>
    <row r="445" spans="18:19" x14ac:dyDescent="0.35">
      <c r="R445" s="3">
        <v>443</v>
      </c>
      <c r="S445" s="7">
        <f t="shared" ca="1" si="10"/>
        <v>38.954990141070958</v>
      </c>
    </row>
    <row r="446" spans="18:19" x14ac:dyDescent="0.35">
      <c r="R446" s="3">
        <v>444</v>
      </c>
      <c r="S446" s="7">
        <f t="shared" ca="1" si="10"/>
        <v>38.355493972882741</v>
      </c>
    </row>
    <row r="447" spans="18:19" x14ac:dyDescent="0.35">
      <c r="R447" s="3">
        <v>445</v>
      </c>
      <c r="S447" s="7">
        <f t="shared" ca="1" si="10"/>
        <v>70.473419334240802</v>
      </c>
    </row>
    <row r="448" spans="18:19" x14ac:dyDescent="0.35">
      <c r="R448" s="3">
        <v>446</v>
      </c>
      <c r="S448" s="7">
        <f t="shared" ca="1" si="10"/>
        <v>29.667601946154115</v>
      </c>
    </row>
    <row r="449" spans="18:19" x14ac:dyDescent="0.35">
      <c r="R449" s="3">
        <v>447</v>
      </c>
      <c r="S449" s="7">
        <f t="shared" ca="1" si="10"/>
        <v>45.753183896682629</v>
      </c>
    </row>
    <row r="450" spans="18:19" x14ac:dyDescent="0.35">
      <c r="R450" s="3">
        <v>448</v>
      </c>
      <c r="S450" s="7">
        <f t="shared" ca="1" si="10"/>
        <v>46.802535813989969</v>
      </c>
    </row>
    <row r="451" spans="18:19" x14ac:dyDescent="0.35">
      <c r="R451" s="3">
        <v>449</v>
      </c>
      <c r="S451" s="7">
        <f t="shared" ca="1" si="10"/>
        <v>63.43705811229232</v>
      </c>
    </row>
    <row r="452" spans="18:19" x14ac:dyDescent="0.35">
      <c r="R452" s="3">
        <v>450</v>
      </c>
      <c r="S452" s="7">
        <f t="shared" ca="1" si="10"/>
        <v>47.229849467869286</v>
      </c>
    </row>
    <row r="453" spans="18:19" x14ac:dyDescent="0.35">
      <c r="R453" s="3">
        <v>451</v>
      </c>
      <c r="S453" s="7">
        <f t="shared" ca="1" si="10"/>
        <v>55.392359382012202</v>
      </c>
    </row>
    <row r="454" spans="18:19" x14ac:dyDescent="0.35">
      <c r="R454" s="3">
        <v>452</v>
      </c>
      <c r="S454" s="7">
        <f t="shared" ca="1" si="10"/>
        <v>51.473549074886989</v>
      </c>
    </row>
    <row r="455" spans="18:19" x14ac:dyDescent="0.35">
      <c r="R455" s="3">
        <v>453</v>
      </c>
      <c r="S455" s="7">
        <f t="shared" ca="1" si="10"/>
        <v>47.092374289314286</v>
      </c>
    </row>
    <row r="456" spans="18:19" x14ac:dyDescent="0.35">
      <c r="R456" s="3">
        <v>454</v>
      </c>
      <c r="S456" s="7">
        <f t="shared" ca="1" si="10"/>
        <v>63.089734159262413</v>
      </c>
    </row>
    <row r="457" spans="18:19" x14ac:dyDescent="0.35">
      <c r="R457" s="3">
        <v>455</v>
      </c>
      <c r="S457" s="7">
        <f t="shared" ca="1" si="10"/>
        <v>53.169638266612914</v>
      </c>
    </row>
    <row r="458" spans="18:19" x14ac:dyDescent="0.35">
      <c r="R458" s="3">
        <v>456</v>
      </c>
      <c r="S458" s="7">
        <f t="shared" ca="1" si="10"/>
        <v>44.027717916184692</v>
      </c>
    </row>
    <row r="459" spans="18:19" x14ac:dyDescent="0.35">
      <c r="R459" s="3">
        <v>457</v>
      </c>
      <c r="S459" s="7">
        <f t="shared" ca="1" si="10"/>
        <v>39.064582632304408</v>
      </c>
    </row>
    <row r="460" spans="18:19" x14ac:dyDescent="0.35">
      <c r="R460" s="3">
        <v>458</v>
      </c>
      <c r="S460" s="7">
        <f t="shared" ca="1" si="10"/>
        <v>63.656009630814175</v>
      </c>
    </row>
    <row r="461" spans="18:19" x14ac:dyDescent="0.35">
      <c r="R461" s="3">
        <v>459</v>
      </c>
      <c r="S461" s="7">
        <f t="shared" ca="1" si="10"/>
        <v>47.809676640720795</v>
      </c>
    </row>
    <row r="462" spans="18:19" x14ac:dyDescent="0.35">
      <c r="R462" s="3">
        <v>460</v>
      </c>
      <c r="S462" s="7">
        <f t="shared" ca="1" si="10"/>
        <v>38.749576064254647</v>
      </c>
    </row>
    <row r="463" spans="18:19" x14ac:dyDescent="0.35">
      <c r="R463" s="3">
        <v>461</v>
      </c>
      <c r="S463" s="7">
        <f t="shared" ca="1" si="10"/>
        <v>63.694232109413285</v>
      </c>
    </row>
    <row r="464" spans="18:19" x14ac:dyDescent="0.35">
      <c r="R464" s="3">
        <v>462</v>
      </c>
      <c r="S464" s="7">
        <f t="shared" ca="1" si="10"/>
        <v>56.339117024218311</v>
      </c>
    </row>
    <row r="465" spans="18:19" x14ac:dyDescent="0.35">
      <c r="R465" s="3">
        <v>463</v>
      </c>
      <c r="S465" s="7">
        <f t="shared" ca="1" si="10"/>
        <v>50.065245900174723</v>
      </c>
    </row>
    <row r="466" spans="18:19" x14ac:dyDescent="0.35">
      <c r="R466" s="3">
        <v>464</v>
      </c>
      <c r="S466" s="7">
        <f t="shared" ca="1" si="10"/>
        <v>57.627493451927457</v>
      </c>
    </row>
    <row r="467" spans="18:19" x14ac:dyDescent="0.35">
      <c r="R467" s="3">
        <v>465</v>
      </c>
      <c r="S467" s="7">
        <f t="shared" ca="1" si="10"/>
        <v>53.779374676845052</v>
      </c>
    </row>
    <row r="468" spans="18:19" x14ac:dyDescent="0.35">
      <c r="R468" s="3">
        <v>466</v>
      </c>
      <c r="S468" s="7">
        <f t="shared" ca="1" si="10"/>
        <v>54.642617324725407</v>
      </c>
    </row>
    <row r="469" spans="18:19" x14ac:dyDescent="0.35">
      <c r="R469" s="3">
        <v>467</v>
      </c>
      <c r="S469" s="7">
        <f t="shared" ca="1" si="10"/>
        <v>30.300835419424143</v>
      </c>
    </row>
    <row r="470" spans="18:19" x14ac:dyDescent="0.35">
      <c r="R470" s="3">
        <v>468</v>
      </c>
      <c r="S470" s="7">
        <f t="shared" ca="1" si="10"/>
        <v>48.804149565663494</v>
      </c>
    </row>
    <row r="471" spans="18:19" x14ac:dyDescent="0.35">
      <c r="R471" s="3">
        <v>469</v>
      </c>
      <c r="S471" s="7">
        <f t="shared" ca="1" si="10"/>
        <v>48.796464568522126</v>
      </c>
    </row>
    <row r="472" spans="18:19" x14ac:dyDescent="0.35">
      <c r="R472" s="3">
        <v>470</v>
      </c>
      <c r="S472" s="7">
        <f t="shared" ca="1" si="10"/>
        <v>39.015915527442608</v>
      </c>
    </row>
    <row r="473" spans="18:19" x14ac:dyDescent="0.35">
      <c r="R473" s="3">
        <v>471</v>
      </c>
      <c r="S473" s="7">
        <f t="shared" ca="1" si="10"/>
        <v>53.068592977815975</v>
      </c>
    </row>
    <row r="474" spans="18:19" x14ac:dyDescent="0.35">
      <c r="R474" s="3">
        <v>472</v>
      </c>
      <c r="S474" s="7">
        <f t="shared" ca="1" si="10"/>
        <v>43.623274170847552</v>
      </c>
    </row>
    <row r="475" spans="18:19" x14ac:dyDescent="0.35">
      <c r="R475" s="3">
        <v>473</v>
      </c>
      <c r="S475" s="7">
        <f t="shared" ca="1" si="10"/>
        <v>28.805021718002379</v>
      </c>
    </row>
    <row r="476" spans="18:19" x14ac:dyDescent="0.35">
      <c r="R476" s="3">
        <v>474</v>
      </c>
      <c r="S476" s="7">
        <f t="shared" ca="1" si="10"/>
        <v>60.708207748146549</v>
      </c>
    </row>
    <row r="477" spans="18:19" x14ac:dyDescent="0.35">
      <c r="R477" s="3">
        <v>475</v>
      </c>
      <c r="S477" s="7">
        <f t="shared" ca="1" si="10"/>
        <v>62.916130244166858</v>
      </c>
    </row>
    <row r="478" spans="18:19" x14ac:dyDescent="0.35">
      <c r="R478" s="3">
        <v>476</v>
      </c>
      <c r="S478" s="7">
        <f t="shared" ca="1" si="10"/>
        <v>53.496768196406435</v>
      </c>
    </row>
    <row r="479" spans="18:19" x14ac:dyDescent="0.35">
      <c r="R479" s="3">
        <v>477</v>
      </c>
      <c r="S479" s="7">
        <f t="shared" ca="1" si="10"/>
        <v>18.754317576131335</v>
      </c>
    </row>
    <row r="480" spans="18:19" x14ac:dyDescent="0.35">
      <c r="R480" s="3">
        <v>478</v>
      </c>
      <c r="S480" s="7">
        <f t="shared" ca="1" si="10"/>
        <v>50.845846386159039</v>
      </c>
    </row>
    <row r="481" spans="18:19" x14ac:dyDescent="0.35">
      <c r="R481" s="3">
        <v>479</v>
      </c>
      <c r="S481" s="7">
        <f t="shared" ca="1" si="10"/>
        <v>37.739038295819952</v>
      </c>
    </row>
    <row r="482" spans="18:19" x14ac:dyDescent="0.35">
      <c r="R482" s="3">
        <v>480</v>
      </c>
      <c r="S482" s="7">
        <f t="shared" ca="1" si="10"/>
        <v>48.625278447701866</v>
      </c>
    </row>
    <row r="483" spans="18:19" x14ac:dyDescent="0.35">
      <c r="R483" s="3">
        <v>481</v>
      </c>
      <c r="S483" s="7">
        <f t="shared" ca="1" si="10"/>
        <v>31.685805983466725</v>
      </c>
    </row>
    <row r="484" spans="18:19" x14ac:dyDescent="0.35">
      <c r="R484" s="3">
        <v>482</v>
      </c>
      <c r="S484" s="7">
        <f t="shared" ca="1" si="10"/>
        <v>62.979743420588214</v>
      </c>
    </row>
    <row r="485" spans="18:19" x14ac:dyDescent="0.35">
      <c r="R485" s="3">
        <v>483</v>
      </c>
      <c r="S485" s="7">
        <f t="shared" ca="1" si="10"/>
        <v>38.225863399370873</v>
      </c>
    </row>
    <row r="486" spans="18:19" x14ac:dyDescent="0.35">
      <c r="R486" s="3">
        <v>484</v>
      </c>
      <c r="S486" s="7">
        <f t="shared" ca="1" si="10"/>
        <v>50.635491226008341</v>
      </c>
    </row>
    <row r="487" spans="18:19" x14ac:dyDescent="0.35">
      <c r="R487" s="3">
        <v>485</v>
      </c>
      <c r="S487" s="7">
        <f t="shared" ref="S487:S502" ca="1" si="11">NORMINV(RAND(),C$3,C$4)</f>
        <v>54.975928376439605</v>
      </c>
    </row>
    <row r="488" spans="18:19" x14ac:dyDescent="0.35">
      <c r="R488" s="3">
        <v>486</v>
      </c>
      <c r="S488" s="7">
        <f t="shared" ca="1" si="11"/>
        <v>37.525763399462576</v>
      </c>
    </row>
    <row r="489" spans="18:19" x14ac:dyDescent="0.35">
      <c r="R489" s="3">
        <v>487</v>
      </c>
      <c r="S489" s="7">
        <f t="shared" ca="1" si="11"/>
        <v>49.374751098327998</v>
      </c>
    </row>
    <row r="490" spans="18:19" x14ac:dyDescent="0.35">
      <c r="R490" s="3">
        <v>488</v>
      </c>
      <c r="S490" s="7">
        <f t="shared" ca="1" si="11"/>
        <v>58.532164801706848</v>
      </c>
    </row>
    <row r="491" spans="18:19" x14ac:dyDescent="0.35">
      <c r="R491" s="3">
        <v>489</v>
      </c>
      <c r="S491" s="7">
        <f t="shared" ca="1" si="11"/>
        <v>39.591153078656895</v>
      </c>
    </row>
    <row r="492" spans="18:19" x14ac:dyDescent="0.35">
      <c r="R492" s="3">
        <v>490</v>
      </c>
      <c r="S492" s="7">
        <f t="shared" ca="1" si="11"/>
        <v>49.407437209682548</v>
      </c>
    </row>
    <row r="493" spans="18:19" x14ac:dyDescent="0.35">
      <c r="R493" s="3">
        <v>491</v>
      </c>
      <c r="S493" s="7">
        <f t="shared" ca="1" si="11"/>
        <v>51.812743981795897</v>
      </c>
    </row>
    <row r="494" spans="18:19" x14ac:dyDescent="0.35">
      <c r="R494" s="3">
        <v>492</v>
      </c>
      <c r="S494" s="7">
        <f t="shared" ca="1" si="11"/>
        <v>64.199552134923536</v>
      </c>
    </row>
    <row r="495" spans="18:19" x14ac:dyDescent="0.35">
      <c r="R495" s="3">
        <v>493</v>
      </c>
      <c r="S495" s="7">
        <f t="shared" ca="1" si="11"/>
        <v>49.979425075466388</v>
      </c>
    </row>
    <row r="496" spans="18:19" x14ac:dyDescent="0.35">
      <c r="R496" s="3">
        <v>494</v>
      </c>
      <c r="S496" s="7">
        <f t="shared" ca="1" si="11"/>
        <v>39.782641571761516</v>
      </c>
    </row>
    <row r="497" spans="18:19" x14ac:dyDescent="0.35">
      <c r="R497" s="3">
        <v>495</v>
      </c>
      <c r="S497" s="7">
        <f t="shared" ca="1" si="11"/>
        <v>50.742110579939968</v>
      </c>
    </row>
    <row r="498" spans="18:19" x14ac:dyDescent="0.35">
      <c r="R498" s="3">
        <v>496</v>
      </c>
      <c r="S498" s="7">
        <f t="shared" ca="1" si="11"/>
        <v>55.139136547937845</v>
      </c>
    </row>
    <row r="499" spans="18:19" x14ac:dyDescent="0.35">
      <c r="R499" s="3">
        <v>497</v>
      </c>
      <c r="S499" s="7">
        <f t="shared" ca="1" si="11"/>
        <v>25.120102539374972</v>
      </c>
    </row>
    <row r="500" spans="18:19" x14ac:dyDescent="0.35">
      <c r="R500" s="3">
        <v>498</v>
      </c>
      <c r="S500" s="7">
        <f t="shared" ca="1" si="11"/>
        <v>33.146144719084937</v>
      </c>
    </row>
    <row r="501" spans="18:19" x14ac:dyDescent="0.35">
      <c r="R501" s="3">
        <v>499</v>
      </c>
      <c r="S501" s="7">
        <f t="shared" ca="1" si="11"/>
        <v>41.962205009262242</v>
      </c>
    </row>
    <row r="502" spans="18:19" x14ac:dyDescent="0.35">
      <c r="R502" s="3">
        <v>500</v>
      </c>
      <c r="S502" s="7">
        <f t="shared" ca="1" si="11"/>
        <v>58.501345566413761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A1D33-B699-4EB5-B983-D54C05DB7D42}">
  <dimension ref="B2:S502"/>
  <sheetViews>
    <sheetView zoomScale="70" zoomScaleNormal="70" workbookViewId="0">
      <selection activeCell="R19" sqref="R19"/>
    </sheetView>
  </sheetViews>
  <sheetFormatPr defaultRowHeight="14.5" x14ac:dyDescent="0.35"/>
  <cols>
    <col min="1" max="1" width="3.36328125" style="1" customWidth="1"/>
    <col min="2" max="2" width="14.90625" style="1" bestFit="1" customWidth="1"/>
    <col min="3" max="3" width="8.7265625" style="1"/>
    <col min="4" max="4" width="8.7265625" style="1" customWidth="1"/>
    <col min="5" max="5" width="12" style="3" customWidth="1"/>
    <col min="6" max="6" width="12" style="7" customWidth="1"/>
    <col min="7" max="17" width="8.7265625" style="1"/>
    <col min="18" max="18" width="12" style="3" customWidth="1"/>
    <col min="19" max="19" width="12" style="7" customWidth="1"/>
    <col min="20" max="16384" width="8.7265625" style="1"/>
  </cols>
  <sheetData>
    <row r="2" spans="2:19" x14ac:dyDescent="0.35">
      <c r="B2" s="5" t="s">
        <v>9</v>
      </c>
      <c r="C2" s="5" t="s">
        <v>10</v>
      </c>
      <c r="E2" s="6" t="s">
        <v>24</v>
      </c>
      <c r="F2" s="8" t="s">
        <v>20</v>
      </c>
      <c r="H2" s="1" t="str">
        <f>"t-Dist - d.f. = "&amp;C3</f>
        <v>t-Dist - d.f. = 5</v>
      </c>
      <c r="R2" s="6" t="s">
        <v>25</v>
      </c>
      <c r="S2" s="8" t="s">
        <v>26</v>
      </c>
    </row>
    <row r="3" spans="2:19" x14ac:dyDescent="0.35">
      <c r="B3" s="1" t="s">
        <v>19</v>
      </c>
      <c r="C3" s="4">
        <v>5</v>
      </c>
      <c r="E3" s="10">
        <v>-9.9</v>
      </c>
      <c r="F3" s="7">
        <f>_xlfn.T.DIST(E3,C$3,FALSE)</f>
        <v>4.3411591622687521E-5</v>
      </c>
      <c r="R3" s="3">
        <v>1</v>
      </c>
      <c r="S3" s="7">
        <f ca="1">_xlfn.T.INV(RAND(),C$3)</f>
        <v>1.182591865114017</v>
      </c>
    </row>
    <row r="4" spans="2:19" x14ac:dyDescent="0.35">
      <c r="E4" s="10">
        <v>-9.6999999999999993</v>
      </c>
      <c r="F4" s="7">
        <f t="shared" ref="F4:F67" si="0">_xlfn.T.DIST(E4,C$3,FALSE)</f>
        <v>4.8770182998915367E-5</v>
      </c>
      <c r="R4" s="3">
        <v>2</v>
      </c>
      <c r="S4" s="7">
        <f t="shared" ref="S4:S67" ca="1" si="1">_xlfn.T.INV(RAND(),C$3)</f>
        <v>1.0153790166420971</v>
      </c>
    </row>
    <row r="5" spans="2:19" x14ac:dyDescent="0.35">
      <c r="E5" s="10">
        <v>-9.5</v>
      </c>
      <c r="F5" s="7">
        <f t="shared" si="0"/>
        <v>5.4909680584003134E-5</v>
      </c>
      <c r="R5" s="3">
        <v>3</v>
      </c>
      <c r="S5" s="7">
        <f t="shared" ca="1" si="1"/>
        <v>-0.16452529132851421</v>
      </c>
    </row>
    <row r="6" spans="2:19" x14ac:dyDescent="0.35">
      <c r="E6" s="10">
        <v>-9.3000000000000007</v>
      </c>
      <c r="F6" s="7">
        <f t="shared" si="0"/>
        <v>6.1961651912105582E-5</v>
      </c>
      <c r="R6" s="3">
        <v>4</v>
      </c>
      <c r="S6" s="7">
        <f t="shared" ca="1" si="1"/>
        <v>-0.2067759346588339</v>
      </c>
    </row>
    <row r="7" spans="2:19" x14ac:dyDescent="0.35">
      <c r="E7" s="10">
        <v>-9.1</v>
      </c>
      <c r="F7" s="7">
        <f t="shared" si="0"/>
        <v>7.0082879749243788E-5</v>
      </c>
      <c r="R7" s="3">
        <v>5</v>
      </c>
      <c r="S7" s="7">
        <f t="shared" ca="1" si="1"/>
        <v>-1.6536947635173147</v>
      </c>
    </row>
    <row r="8" spans="2:19" x14ac:dyDescent="0.35">
      <c r="E8" s="10">
        <v>-8.8999999999999897</v>
      </c>
      <c r="F8" s="7">
        <f t="shared" si="0"/>
        <v>7.9460788143787011E-5</v>
      </c>
      <c r="R8" s="3">
        <v>6</v>
      </c>
      <c r="S8" s="7">
        <f t="shared" ca="1" si="1"/>
        <v>1.5364123321912821</v>
      </c>
    </row>
    <row r="9" spans="2:19" x14ac:dyDescent="0.35">
      <c r="E9" s="10">
        <v>-8.6999999999999904</v>
      </c>
      <c r="F9" s="7">
        <f t="shared" si="0"/>
        <v>9.0320165357032364E-5</v>
      </c>
      <c r="R9" s="3">
        <v>7</v>
      </c>
      <c r="S9" s="7">
        <f t="shared" ca="1" si="1"/>
        <v>-0.52399783976197611</v>
      </c>
    </row>
    <row r="10" spans="2:19" x14ac:dyDescent="0.35">
      <c r="E10" s="10">
        <v>-8.4999999999999893</v>
      </c>
      <c r="F10" s="7">
        <f t="shared" si="0"/>
        <v>1.0293152474836157E-4</v>
      </c>
      <c r="R10" s="3">
        <v>8</v>
      </c>
      <c r="S10" s="7">
        <f t="shared" ca="1" si="1"/>
        <v>0.320846265956161</v>
      </c>
    </row>
    <row r="11" spans="2:19" x14ac:dyDescent="0.35">
      <c r="E11" s="10">
        <v>-8.2999999999999901</v>
      </c>
      <c r="F11" s="7">
        <f t="shared" si="0"/>
        <v>1.1762154257034821E-4</v>
      </c>
      <c r="R11" s="3">
        <v>9</v>
      </c>
      <c r="S11" s="7">
        <f t="shared" ca="1" si="1"/>
        <v>-1.0007497519346646</v>
      </c>
    </row>
    <row r="12" spans="2:19" x14ac:dyDescent="0.35">
      <c r="E12" s="10">
        <v>-8.0999999999999908</v>
      </c>
      <c r="F12" s="7">
        <f t="shared" si="0"/>
        <v>1.3478613992266205E-4</v>
      </c>
      <c r="R12" s="3">
        <v>10</v>
      </c>
      <c r="S12" s="7">
        <f t="shared" ca="1" si="1"/>
        <v>1.5736606851061044</v>
      </c>
    </row>
    <row r="13" spans="2:19" x14ac:dyDescent="0.35">
      <c r="E13" s="10">
        <v>-7.8999999999999897</v>
      </c>
      <c r="F13" s="7">
        <f t="shared" si="0"/>
        <v>1.5490694497217954E-4</v>
      </c>
      <c r="R13" s="3">
        <v>11</v>
      </c>
      <c r="S13" s="7">
        <f t="shared" ca="1" si="1"/>
        <v>1.3594042246810478</v>
      </c>
    </row>
    <row r="14" spans="2:19" x14ac:dyDescent="0.35">
      <c r="E14" s="10">
        <v>-7.6999999999999904</v>
      </c>
      <c r="F14" s="7">
        <f t="shared" si="0"/>
        <v>1.7857209473517806E-4</v>
      </c>
      <c r="R14" s="3">
        <v>12</v>
      </c>
      <c r="S14" s="7">
        <f t="shared" ca="1" si="1"/>
        <v>-1.9044392418482277</v>
      </c>
    </row>
    <row r="15" spans="2:19" x14ac:dyDescent="0.35">
      <c r="E15" s="10">
        <v>-7.4999999999999902</v>
      </c>
      <c r="F15" s="7">
        <f t="shared" si="0"/>
        <v>2.0650263197001116E-4</v>
      </c>
      <c r="R15" s="3">
        <v>13</v>
      </c>
      <c r="S15" s="7">
        <f t="shared" ca="1" si="1"/>
        <v>-9.6951026637821444E-2</v>
      </c>
    </row>
    <row r="16" spans="2:19" x14ac:dyDescent="0.35">
      <c r="E16" s="10">
        <v>-7.2999999999999901</v>
      </c>
      <c r="F16" s="7">
        <f t="shared" si="0"/>
        <v>2.3958614763849555E-4</v>
      </c>
      <c r="R16" s="3">
        <v>14</v>
      </c>
      <c r="S16" s="7">
        <f t="shared" ca="1" si="1"/>
        <v>-0.78937034463342592</v>
      </c>
    </row>
    <row r="17" spans="5:19" x14ac:dyDescent="0.35">
      <c r="E17" s="10">
        <v>-7.0999999999999899</v>
      </c>
      <c r="F17" s="7">
        <f t="shared" si="0"/>
        <v>2.789198480503593E-4</v>
      </c>
      <c r="R17" s="3">
        <v>15</v>
      </c>
      <c r="S17" s="7">
        <f ca="1">_xlfn.T.INV(RAND(),C$3)</f>
        <v>0.29825260224774153</v>
      </c>
    </row>
    <row r="18" spans="5:19" x14ac:dyDescent="0.35">
      <c r="E18" s="10">
        <v>-6.8999999999999799</v>
      </c>
      <c r="F18" s="7">
        <f t="shared" si="0"/>
        <v>3.2586593647670006E-4</v>
      </c>
      <c r="R18" s="3">
        <v>16</v>
      </c>
      <c r="S18" s="7">
        <f ca="1">_xlfn.T.INV(RAND(),C$3)</f>
        <v>1.2334365678640136</v>
      </c>
    </row>
    <row r="19" spans="5:19" x14ac:dyDescent="0.35">
      <c r="E19" s="10">
        <v>-6.6999999999999797</v>
      </c>
      <c r="F19" s="7">
        <f t="shared" si="0"/>
        <v>3.8212315830792173E-4</v>
      </c>
      <c r="R19" s="3">
        <v>17</v>
      </c>
      <c r="S19" s="7">
        <f t="shared" ca="1" si="1"/>
        <v>-2.1551048668203672</v>
      </c>
    </row>
    <row r="20" spans="5:19" x14ac:dyDescent="0.35">
      <c r="E20" s="10">
        <v>-6.4999999999999796</v>
      </c>
      <c r="F20" s="7">
        <f t="shared" si="0"/>
        <v>4.4981965887894621E-4</v>
      </c>
      <c r="R20" s="3">
        <v>18</v>
      </c>
      <c r="S20" s="7">
        <f t="shared" ca="1" si="1"/>
        <v>2.0615041066107969</v>
      </c>
    </row>
    <row r="21" spans="5:19" x14ac:dyDescent="0.35">
      <c r="E21" s="10">
        <v>-6.2999999999999803</v>
      </c>
      <c r="F21" s="7">
        <f t="shared" si="0"/>
        <v>5.3163407162113091E-4</v>
      </c>
      <c r="R21" s="3">
        <v>19</v>
      </c>
      <c r="S21" s="7">
        <f t="shared" ca="1" si="1"/>
        <v>0.61962735655620471</v>
      </c>
    </row>
    <row r="22" spans="5:19" x14ac:dyDescent="0.35">
      <c r="E22" s="10">
        <v>-6.0999999999999801</v>
      </c>
      <c r="F22" s="7">
        <f t="shared" si="0"/>
        <v>6.3095416852989065E-4</v>
      </c>
      <c r="R22" s="3">
        <v>20</v>
      </c>
      <c r="S22" s="7">
        <f t="shared" ca="1" si="1"/>
        <v>1.4428829590106362</v>
      </c>
    </row>
    <row r="23" spans="5:19" x14ac:dyDescent="0.35">
      <c r="E23" s="10">
        <v>-5.8999999999999799</v>
      </c>
      <c r="F23" s="7">
        <f t="shared" si="0"/>
        <v>7.5208571124567932E-4</v>
      </c>
      <c r="R23" s="3">
        <v>21</v>
      </c>
      <c r="S23" s="7">
        <f t="shared" ca="1" si="1"/>
        <v>0.78301347541424704</v>
      </c>
    </row>
    <row r="24" spans="5:19" x14ac:dyDescent="0.35">
      <c r="E24" s="10">
        <v>-5.6999999999999797</v>
      </c>
      <c r="F24" s="7">
        <f t="shared" si="0"/>
        <v>9.0052868079856373E-4</v>
      </c>
      <c r="R24" s="3">
        <v>22</v>
      </c>
      <c r="S24" s="7">
        <f t="shared" ca="1" si="1"/>
        <v>-0.87418522282780697</v>
      </c>
    </row>
    <row r="25" spans="5:19" x14ac:dyDescent="0.35">
      <c r="E25" s="10">
        <v>-5.4999999999999796</v>
      </c>
      <c r="F25" s="7">
        <f t="shared" si="0"/>
        <v>1.0833443094854147E-3</v>
      </c>
      <c r="R25" s="3">
        <v>23</v>
      </c>
      <c r="S25" s="7">
        <f t="shared" ca="1" si="1"/>
        <v>-0.27125806468236907</v>
      </c>
    </row>
    <row r="26" spans="5:19" x14ac:dyDescent="0.35">
      <c r="E26" s="10">
        <v>-5.2999999999999803</v>
      </c>
      <c r="F26" s="7">
        <f t="shared" si="0"/>
        <v>1.3096449388495196E-3</v>
      </c>
      <c r="R26" s="3">
        <v>24</v>
      </c>
      <c r="S26" s="7">
        <f t="shared" ca="1" si="1"/>
        <v>1.0708836590696271</v>
      </c>
    </row>
    <row r="27" spans="5:19" x14ac:dyDescent="0.35">
      <c r="E27" s="10">
        <v>-5.0999999999999703</v>
      </c>
      <c r="F27" s="7">
        <f t="shared" si="0"/>
        <v>1.5912505680814298E-3</v>
      </c>
      <c r="R27" s="3">
        <v>25</v>
      </c>
      <c r="S27" s="7">
        <f t="shared" ca="1" si="1"/>
        <v>0.27048777286712566</v>
      </c>
    </row>
    <row r="28" spans="5:19" x14ac:dyDescent="0.35">
      <c r="E28" s="10">
        <v>-4.8999999999999702</v>
      </c>
      <c r="F28" s="7">
        <f t="shared" si="0"/>
        <v>1.9435722247554525E-3</v>
      </c>
      <c r="R28" s="3">
        <v>26</v>
      </c>
      <c r="S28" s="7">
        <f t="shared" ca="1" si="1"/>
        <v>0.70012846351833136</v>
      </c>
    </row>
    <row r="29" spans="5:19" x14ac:dyDescent="0.35">
      <c r="E29" s="10">
        <v>-4.69999999999997</v>
      </c>
      <c r="F29" s="7">
        <f t="shared" si="0"/>
        <v>2.3868045403493822E-3</v>
      </c>
      <c r="R29" s="3">
        <v>27</v>
      </c>
      <c r="S29" s="7">
        <f t="shared" ca="1" si="1"/>
        <v>0.18650727202975009</v>
      </c>
    </row>
    <row r="30" spans="5:19" x14ac:dyDescent="0.35">
      <c r="E30" s="10">
        <v>-4.4999999999999698</v>
      </c>
      <c r="F30" s="7">
        <f t="shared" si="0"/>
        <v>2.9475401058332014E-3</v>
      </c>
      <c r="R30" s="3">
        <v>28</v>
      </c>
      <c r="S30" s="7">
        <f t="shared" ca="1" si="1"/>
        <v>-0.51972895284272347</v>
      </c>
    </row>
    <row r="31" spans="5:19" x14ac:dyDescent="0.35">
      <c r="E31" s="10">
        <v>-4.2999999999999696</v>
      </c>
      <c r="F31" s="7">
        <f t="shared" si="0"/>
        <v>3.6609586202407483E-3</v>
      </c>
      <c r="R31" s="3">
        <v>29</v>
      </c>
      <c r="S31" s="7">
        <f t="shared" ca="1" si="1"/>
        <v>-0.29422194218881048</v>
      </c>
    </row>
    <row r="32" spans="5:19" x14ac:dyDescent="0.35">
      <c r="E32" s="10">
        <v>-4.0999999999999703</v>
      </c>
      <c r="F32" s="7">
        <f t="shared" si="0"/>
        <v>4.5737968776918712E-3</v>
      </c>
      <c r="R32" s="3">
        <v>30</v>
      </c>
      <c r="S32" s="7">
        <f t="shared" ca="1" si="1"/>
        <v>-0.45908494819518825</v>
      </c>
    </row>
    <row r="33" spans="5:19" x14ac:dyDescent="0.35">
      <c r="E33" s="10">
        <v>-3.8999999999999702</v>
      </c>
      <c r="F33" s="7">
        <f t="shared" si="0"/>
        <v>5.748372854769597E-3</v>
      </c>
      <c r="R33" s="3">
        <v>31</v>
      </c>
      <c r="S33" s="7">
        <f t="shared" ca="1" si="1"/>
        <v>-2.4777379398369974</v>
      </c>
    </row>
    <row r="34" spans="5:19" x14ac:dyDescent="0.35">
      <c r="E34" s="10">
        <v>-3.69999999999997</v>
      </c>
      <c r="F34" s="7">
        <f t="shared" si="0"/>
        <v>7.2680175325696549E-3</v>
      </c>
      <c r="R34" s="3">
        <v>32</v>
      </c>
      <c r="S34" s="7">
        <f t="shared" ca="1" si="1"/>
        <v>-1.7288037145132304</v>
      </c>
    </row>
    <row r="35" spans="5:19" x14ac:dyDescent="0.35">
      <c r="E35" s="10">
        <v>-3.4999999999999698</v>
      </c>
      <c r="F35" s="7">
        <f t="shared" si="0"/>
        <v>9.244354092521263E-3</v>
      </c>
      <c r="R35" s="3">
        <v>33</v>
      </c>
      <c r="S35" s="7">
        <f t="shared" ca="1" si="1"/>
        <v>-1.6937749982989956</v>
      </c>
    </row>
    <row r="36" spans="5:19" x14ac:dyDescent="0.35">
      <c r="E36" s="10">
        <v>-3.2999999999999599</v>
      </c>
      <c r="F36" s="7">
        <f t="shared" si="0"/>
        <v>1.1826934151171755E-2</v>
      </c>
      <c r="R36" s="3">
        <v>34</v>
      </c>
      <c r="S36" s="7">
        <f t="shared" ca="1" si="1"/>
        <v>-0.26002137697785505</v>
      </c>
    </row>
    <row r="37" spans="5:19" x14ac:dyDescent="0.35">
      <c r="E37" s="10">
        <v>-3.0999999999999601</v>
      </c>
      <c r="F37" s="7">
        <f t="shared" si="0"/>
        <v>1.5215745044953604E-2</v>
      </c>
      <c r="R37" s="3">
        <v>35</v>
      </c>
      <c r="S37" s="7">
        <f t="shared" ca="1" si="1"/>
        <v>-3.4417271633665809</v>
      </c>
    </row>
    <row r="38" spans="5:19" x14ac:dyDescent="0.35">
      <c r="E38" s="10">
        <v>-2.8999999999999599</v>
      </c>
      <c r="F38" s="7">
        <f t="shared" si="0"/>
        <v>1.9676938890599547E-2</v>
      </c>
      <c r="R38" s="3">
        <v>36</v>
      </c>
      <c r="S38" s="7">
        <f t="shared" ca="1" si="1"/>
        <v>0.95172855915324939</v>
      </c>
    </row>
    <row r="39" spans="5:19" x14ac:dyDescent="0.35">
      <c r="E39" s="10">
        <v>-2.6999999999999602</v>
      </c>
      <c r="F39" s="7">
        <f t="shared" si="0"/>
        <v>2.5561611020545907E-2</v>
      </c>
      <c r="R39" s="3">
        <v>37</v>
      </c>
      <c r="S39" s="7">
        <f t="shared" ca="1" si="1"/>
        <v>-0.9286775167501492</v>
      </c>
    </row>
    <row r="40" spans="5:19" x14ac:dyDescent="0.35">
      <c r="E40" s="10">
        <v>-2.49999999999996</v>
      </c>
      <c r="F40" s="7">
        <f t="shared" si="0"/>
        <v>3.3326238887024601E-2</v>
      </c>
      <c r="R40" s="3">
        <v>38</v>
      </c>
      <c r="S40" s="7">
        <f t="shared" ca="1" si="1"/>
        <v>-1.8537570411951154</v>
      </c>
    </row>
    <row r="41" spans="5:19" x14ac:dyDescent="0.35">
      <c r="E41" s="10">
        <v>-2.2999999999999599</v>
      </c>
      <c r="F41" s="7">
        <f t="shared" si="0"/>
        <v>4.3550961350442355E-2</v>
      </c>
      <c r="R41" s="3">
        <v>39</v>
      </c>
      <c r="S41" s="7">
        <f t="shared" ca="1" si="1"/>
        <v>-0.20524164513575852</v>
      </c>
    </row>
    <row r="42" spans="5:19" x14ac:dyDescent="0.35">
      <c r="E42" s="10">
        <v>-2.0999999999999601</v>
      </c>
      <c r="F42" s="7">
        <f t="shared" si="0"/>
        <v>5.6947544172173618E-2</v>
      </c>
      <c r="R42" s="3">
        <v>40</v>
      </c>
      <c r="S42" s="7">
        <f t="shared" ca="1" si="1"/>
        <v>1.0460095720527243</v>
      </c>
    </row>
    <row r="43" spans="5:19" x14ac:dyDescent="0.35">
      <c r="E43" s="10">
        <v>-1.8999999999999599</v>
      </c>
      <c r="F43" s="7">
        <f t="shared" si="0"/>
        <v>7.4342030033200154E-2</v>
      </c>
      <c r="R43" s="3">
        <v>41</v>
      </c>
      <c r="S43" s="7">
        <f t="shared" ca="1" si="1"/>
        <v>1.0347543418635177</v>
      </c>
    </row>
    <row r="44" spans="5:19" x14ac:dyDescent="0.35">
      <c r="E44" s="10">
        <v>-1.69999999999996</v>
      </c>
      <c r="F44" s="7">
        <f t="shared" si="0"/>
        <v>9.6607948713916814E-2</v>
      </c>
      <c r="R44" s="3">
        <v>42</v>
      </c>
      <c r="S44" s="7">
        <f t="shared" ca="1" si="1"/>
        <v>-1.1074257764471256</v>
      </c>
    </row>
    <row r="45" spans="5:19" x14ac:dyDescent="0.35">
      <c r="E45" s="10">
        <v>-1.49999999999996</v>
      </c>
      <c r="F45" s="7">
        <f t="shared" si="0"/>
        <v>0.12451734464636134</v>
      </c>
      <c r="R45" s="3">
        <v>43</v>
      </c>
      <c r="S45" s="7">
        <f t="shared" ca="1" si="1"/>
        <v>1.2634316938118448</v>
      </c>
    </row>
    <row r="46" spans="5:19" x14ac:dyDescent="0.35">
      <c r="E46" s="10">
        <v>-1.2999999999999501</v>
      </c>
      <c r="F46" s="7">
        <f t="shared" si="0"/>
        <v>0.15847673572899165</v>
      </c>
      <c r="R46" s="3">
        <v>44</v>
      </c>
      <c r="S46" s="7">
        <f t="shared" ca="1" si="1"/>
        <v>0.66635390208172496</v>
      </c>
    </row>
    <row r="47" spans="5:19" x14ac:dyDescent="0.35">
      <c r="E47" s="10">
        <v>-1.0999999999999499</v>
      </c>
      <c r="F47" s="7">
        <f t="shared" si="0"/>
        <v>0.19813859080335683</v>
      </c>
      <c r="R47" s="3">
        <v>45</v>
      </c>
      <c r="S47" s="7">
        <f t="shared" ca="1" si="1"/>
        <v>-8.3101092602753959E-2</v>
      </c>
    </row>
    <row r="48" spans="5:19" x14ac:dyDescent="0.35">
      <c r="E48" s="10">
        <v>-0.89999999999995095</v>
      </c>
      <c r="F48" s="7">
        <f t="shared" si="0"/>
        <v>0.24194434361360093</v>
      </c>
      <c r="R48" s="3">
        <v>46</v>
      </c>
      <c r="S48" s="7">
        <f t="shared" ca="1" si="1"/>
        <v>-0.5755126379771851</v>
      </c>
    </row>
    <row r="49" spans="5:19" x14ac:dyDescent="0.35">
      <c r="E49" s="10">
        <v>-0.69999999999995</v>
      </c>
      <c r="F49" s="7">
        <f t="shared" si="0"/>
        <v>0.2867654575767089</v>
      </c>
      <c r="R49" s="3">
        <v>47</v>
      </c>
      <c r="S49" s="7">
        <f t="shared" ca="1" si="1"/>
        <v>2.7516127330091806</v>
      </c>
    </row>
    <row r="50" spans="5:19" x14ac:dyDescent="0.35">
      <c r="E50" s="10">
        <v>-0.49999999999994998</v>
      </c>
      <c r="F50" s="7">
        <f t="shared" si="0"/>
        <v>0.32791853132275595</v>
      </c>
      <c r="R50" s="3">
        <v>48</v>
      </c>
      <c r="S50" s="7">
        <f t="shared" ca="1" si="1"/>
        <v>0.30271591358738242</v>
      </c>
    </row>
    <row r="51" spans="5:19" x14ac:dyDescent="0.35">
      <c r="E51" s="10">
        <v>-0.29999999999995097</v>
      </c>
      <c r="F51" s="7">
        <f t="shared" si="0"/>
        <v>0.35982432834901612</v>
      </c>
      <c r="R51" s="3">
        <v>49</v>
      </c>
      <c r="S51" s="7">
        <f t="shared" ca="1" si="1"/>
        <v>-0.37170919201025077</v>
      </c>
    </row>
    <row r="52" spans="5:19" x14ac:dyDescent="0.35">
      <c r="E52" s="10">
        <v>-9.9999999999949907E-2</v>
      </c>
      <c r="F52" s="7">
        <f t="shared" si="0"/>
        <v>0.37733812996643357</v>
      </c>
      <c r="R52" s="3">
        <v>50</v>
      </c>
      <c r="S52" s="7">
        <f t="shared" ca="1" si="1"/>
        <v>-0.90738666963189851</v>
      </c>
    </row>
    <row r="53" spans="5:19" x14ac:dyDescent="0.35">
      <c r="E53" s="10">
        <v>0.100000000000099</v>
      </c>
      <c r="F53" s="7">
        <f t="shared" si="0"/>
        <v>0.37733812996642679</v>
      </c>
      <c r="R53" s="3">
        <v>51</v>
      </c>
      <c r="S53" s="7">
        <f t="shared" ca="1" si="1"/>
        <v>-0.8446522473453173</v>
      </c>
    </row>
    <row r="54" spans="5:19" x14ac:dyDescent="0.35">
      <c r="E54" s="10">
        <v>0.30000000000010002</v>
      </c>
      <c r="F54" s="7">
        <f t="shared" si="0"/>
        <v>0.35982432834899708</v>
      </c>
      <c r="R54" s="3">
        <v>52</v>
      </c>
      <c r="S54" s="7">
        <f t="shared" ca="1" si="1"/>
        <v>-0.10084380985922355</v>
      </c>
    </row>
    <row r="55" spans="5:19" x14ac:dyDescent="0.35">
      <c r="E55" s="10">
        <v>0.50000000000009903</v>
      </c>
      <c r="F55" s="7">
        <f t="shared" si="0"/>
        <v>0.32791853132272802</v>
      </c>
      <c r="R55" s="3">
        <v>53</v>
      </c>
      <c r="S55" s="7">
        <f t="shared" ca="1" si="1"/>
        <v>-0.50723715512116729</v>
      </c>
    </row>
    <row r="56" spans="5:19" x14ac:dyDescent="0.35">
      <c r="E56" s="10">
        <v>0.70000000000009899</v>
      </c>
      <c r="F56" s="7">
        <f t="shared" si="0"/>
        <v>0.28676545757667626</v>
      </c>
      <c r="R56" s="3">
        <v>54</v>
      </c>
      <c r="S56" s="7">
        <f t="shared" ca="1" si="1"/>
        <v>1.9300868358875476</v>
      </c>
    </row>
    <row r="57" spans="5:19" x14ac:dyDescent="0.35">
      <c r="E57" s="10">
        <v>0.90000000000010005</v>
      </c>
      <c r="F57" s="7">
        <f t="shared" si="0"/>
        <v>0.24194434361356737</v>
      </c>
      <c r="R57" s="3">
        <v>55</v>
      </c>
      <c r="S57" s="7">
        <f t="shared" ca="1" si="1"/>
        <v>0.59971110634959301</v>
      </c>
    </row>
    <row r="58" spans="5:19" x14ac:dyDescent="0.35">
      <c r="E58" s="10">
        <v>1.1000000000001</v>
      </c>
      <c r="F58" s="7">
        <f t="shared" si="0"/>
        <v>0.19813859080332522</v>
      </c>
      <c r="R58" s="3">
        <v>56</v>
      </c>
      <c r="S58" s="7">
        <f t="shared" ca="1" si="1"/>
        <v>-0.4523132790511924</v>
      </c>
    </row>
    <row r="59" spans="5:19" x14ac:dyDescent="0.35">
      <c r="E59" s="10">
        <v>1.3000000000001</v>
      </c>
      <c r="F59" s="7">
        <f t="shared" si="0"/>
        <v>0.15847673572896401</v>
      </c>
      <c r="R59" s="3">
        <v>57</v>
      </c>
      <c r="S59" s="7">
        <f t="shared" ca="1" si="1"/>
        <v>0.36394128970033612</v>
      </c>
    </row>
    <row r="60" spans="5:19" x14ac:dyDescent="0.35">
      <c r="E60" s="10">
        <v>1.5000000000000999</v>
      </c>
      <c r="F60" s="7">
        <f t="shared" si="0"/>
        <v>0.12451734464633972</v>
      </c>
      <c r="R60" s="3">
        <v>58</v>
      </c>
      <c r="S60" s="7">
        <f t="shared" ca="1" si="1"/>
        <v>-1.502750238329768</v>
      </c>
    </row>
    <row r="61" spans="5:19" x14ac:dyDescent="0.35">
      <c r="E61" s="10">
        <v>1.7000000000001001</v>
      </c>
      <c r="F61" s="7">
        <f t="shared" si="0"/>
        <v>9.6607948713899328E-2</v>
      </c>
      <c r="R61" s="3">
        <v>59</v>
      </c>
      <c r="S61" s="7">
        <f t="shared" ca="1" si="1"/>
        <v>-0.12985928870293903</v>
      </c>
    </row>
    <row r="62" spans="5:19" x14ac:dyDescent="0.35">
      <c r="E62" s="10">
        <v>1.9000000000001001</v>
      </c>
      <c r="F62" s="7">
        <f t="shared" si="0"/>
        <v>7.434203003318636E-2</v>
      </c>
      <c r="R62" s="3">
        <v>60</v>
      </c>
      <c r="S62" s="7">
        <f t="shared" ca="1" si="1"/>
        <v>-2.2747852030748059</v>
      </c>
    </row>
    <row r="63" spans="5:19" x14ac:dyDescent="0.35">
      <c r="E63" s="10">
        <v>2.1000000000001</v>
      </c>
      <c r="F63" s="7">
        <f t="shared" si="0"/>
        <v>5.6947544172162932E-2</v>
      </c>
      <c r="R63" s="3">
        <v>61</v>
      </c>
      <c r="S63" s="7">
        <f t="shared" ca="1" si="1"/>
        <v>0.7245487862974479</v>
      </c>
    </row>
    <row r="64" spans="5:19" x14ac:dyDescent="0.35">
      <c r="E64" s="10">
        <v>2.3000000000001002</v>
      </c>
      <c r="F64" s="7">
        <f t="shared" si="0"/>
        <v>4.3550961350434153E-2</v>
      </c>
      <c r="R64" s="3">
        <v>62</v>
      </c>
      <c r="S64" s="7">
        <f t="shared" ca="1" si="1"/>
        <v>0.11679526861635378</v>
      </c>
    </row>
    <row r="65" spans="5:19" x14ac:dyDescent="0.35">
      <c r="E65" s="10">
        <v>2.5000000000000999</v>
      </c>
      <c r="F65" s="7">
        <f t="shared" si="0"/>
        <v>3.3326238887018383E-2</v>
      </c>
      <c r="R65" s="3">
        <v>63</v>
      </c>
      <c r="S65" s="7">
        <f t="shared" ca="1" si="1"/>
        <v>-0.12540426831349211</v>
      </c>
    </row>
    <row r="66" spans="5:19" x14ac:dyDescent="0.35">
      <c r="E66" s="10">
        <v>2.7000000000001001</v>
      </c>
      <c r="F66" s="7">
        <f t="shared" si="0"/>
        <v>2.5561611020541192E-2</v>
      </c>
      <c r="R66" s="3">
        <v>64</v>
      </c>
      <c r="S66" s="7">
        <f t="shared" ca="1" si="1"/>
        <v>0.23714095354698184</v>
      </c>
    </row>
    <row r="67" spans="5:19" x14ac:dyDescent="0.35">
      <c r="E67" s="10">
        <v>2.9000000000000998</v>
      </c>
      <c r="F67" s="7">
        <f t="shared" si="0"/>
        <v>1.967693889059597E-2</v>
      </c>
      <c r="R67" s="3">
        <v>65</v>
      </c>
      <c r="S67" s="7">
        <f t="shared" ca="1" si="1"/>
        <v>-0.7850802104882324</v>
      </c>
    </row>
    <row r="68" spans="5:19" x14ac:dyDescent="0.35">
      <c r="E68" s="10">
        <v>3.1000000000001</v>
      </c>
      <c r="F68" s="7">
        <f t="shared" ref="F68:F102" si="2">_xlfn.T.DIST(E68,C$3,FALSE)</f>
        <v>1.5215745044950888E-2</v>
      </c>
      <c r="R68" s="3">
        <v>66</v>
      </c>
      <c r="S68" s="7">
        <f t="shared" ref="S68:S131" ca="1" si="3">_xlfn.T.INV(RAND(),C$3)</f>
        <v>1.3657261326293019E-2</v>
      </c>
    </row>
    <row r="69" spans="5:19" x14ac:dyDescent="0.35">
      <c r="E69" s="10">
        <v>3.3000000000001002</v>
      </c>
      <c r="F69" s="7">
        <f t="shared" si="2"/>
        <v>1.1826934151169694E-2</v>
      </c>
      <c r="R69" s="3">
        <v>67</v>
      </c>
      <c r="S69" s="7">
        <f t="shared" ca="1" si="3"/>
        <v>-0.7189515028299116</v>
      </c>
    </row>
    <row r="70" spans="5:19" x14ac:dyDescent="0.35">
      <c r="E70" s="10">
        <v>3.5000000000000999</v>
      </c>
      <c r="F70" s="7">
        <f t="shared" si="2"/>
        <v>9.2443540925197954E-3</v>
      </c>
      <c r="R70" s="3">
        <v>68</v>
      </c>
      <c r="S70" s="7">
        <f t="shared" ca="1" si="3"/>
        <v>-0.7565959696262986</v>
      </c>
    </row>
    <row r="71" spans="5:19" x14ac:dyDescent="0.35">
      <c r="E71" s="10">
        <v>3.7000000000001001</v>
      </c>
      <c r="F71" s="7">
        <f t="shared" si="2"/>
        <v>7.2680175325685317E-3</v>
      </c>
      <c r="R71" s="3">
        <v>69</v>
      </c>
      <c r="S71" s="7">
        <f t="shared" ca="1" si="3"/>
        <v>0.20101572788000788</v>
      </c>
    </row>
    <row r="72" spans="5:19" x14ac:dyDescent="0.35">
      <c r="E72" s="10">
        <v>3.9000000000000998</v>
      </c>
      <c r="F72" s="7">
        <f t="shared" si="2"/>
        <v>5.7483728547687331E-3</v>
      </c>
      <c r="R72" s="3">
        <v>70</v>
      </c>
      <c r="S72" s="7">
        <f t="shared" ca="1" si="3"/>
        <v>1.3140156406067525</v>
      </c>
    </row>
    <row r="73" spans="5:19" x14ac:dyDescent="0.35">
      <c r="E73" s="10">
        <v>4.1000000000001</v>
      </c>
      <c r="F73" s="7">
        <f t="shared" si="2"/>
        <v>4.5737968776911999E-3</v>
      </c>
      <c r="R73" s="3">
        <v>71</v>
      </c>
      <c r="S73" s="7">
        <f t="shared" ca="1" si="3"/>
        <v>0.45754006660345414</v>
      </c>
    </row>
    <row r="74" spans="5:19" x14ac:dyDescent="0.35">
      <c r="E74" s="10">
        <v>4.3000000000001002</v>
      </c>
      <c r="F74" s="7">
        <f t="shared" si="2"/>
        <v>3.6609586202402231E-3</v>
      </c>
      <c r="R74" s="3">
        <v>72</v>
      </c>
      <c r="S74" s="7">
        <f t="shared" ca="1" si="3"/>
        <v>-2.1110811618271197</v>
      </c>
    </row>
    <row r="75" spans="5:19" x14ac:dyDescent="0.35">
      <c r="E75" s="10">
        <v>4.5000000000001004</v>
      </c>
      <c r="F75" s="7">
        <f t="shared" si="2"/>
        <v>2.9475401058327902E-3</v>
      </c>
      <c r="R75" s="3">
        <v>73</v>
      </c>
      <c r="S75" s="7">
        <f t="shared" ca="1" si="3"/>
        <v>0.18879774345647826</v>
      </c>
    </row>
    <row r="76" spans="5:19" x14ac:dyDescent="0.35">
      <c r="E76" s="10">
        <v>4.7000000000000997</v>
      </c>
      <c r="F76" s="7">
        <f t="shared" si="2"/>
        <v>2.3868045403490591E-3</v>
      </c>
      <c r="R76" s="3">
        <v>74</v>
      </c>
      <c r="S76" s="7">
        <f t="shared" ca="1" si="3"/>
        <v>-1.698506206954659</v>
      </c>
    </row>
    <row r="77" spans="5:19" x14ac:dyDescent="0.35">
      <c r="E77" s="10">
        <v>4.9000000000000998</v>
      </c>
      <c r="F77" s="7">
        <f t="shared" si="2"/>
        <v>1.9435722247551975E-3</v>
      </c>
      <c r="R77" s="3">
        <v>75</v>
      </c>
      <c r="S77" s="7">
        <f t="shared" ca="1" si="3"/>
        <v>2.955117697721926</v>
      </c>
    </row>
    <row r="78" spans="5:19" x14ac:dyDescent="0.35">
      <c r="E78" s="10">
        <v>5.1000000000001</v>
      </c>
      <c r="F78" s="7">
        <f t="shared" si="2"/>
        <v>1.5912505680812266E-3</v>
      </c>
      <c r="R78" s="3">
        <v>76</v>
      </c>
      <c r="S78" s="7">
        <f t="shared" ca="1" si="3"/>
        <v>-1.1128633724494927</v>
      </c>
    </row>
    <row r="79" spans="5:19" x14ac:dyDescent="0.35">
      <c r="E79" s="10">
        <v>5.3000000000001002</v>
      </c>
      <c r="F79" s="7">
        <f t="shared" si="2"/>
        <v>1.3096449388493687E-3</v>
      </c>
      <c r="R79" s="3">
        <v>77</v>
      </c>
      <c r="S79" s="7">
        <f t="shared" ca="1" si="3"/>
        <v>0.15742178624662825</v>
      </c>
    </row>
    <row r="80" spans="5:19" x14ac:dyDescent="0.35">
      <c r="E80" s="10">
        <v>5.5000000000001004</v>
      </c>
      <c r="F80" s="7">
        <f t="shared" si="2"/>
        <v>1.0833443094852922E-3</v>
      </c>
      <c r="R80" s="3">
        <v>78</v>
      </c>
      <c r="S80" s="7">
        <f t="shared" ca="1" si="3"/>
        <v>-2.0738249863712186</v>
      </c>
    </row>
    <row r="81" spans="5:19" x14ac:dyDescent="0.35">
      <c r="E81" s="10">
        <v>5.7000000000000997</v>
      </c>
      <c r="F81" s="7">
        <f t="shared" si="2"/>
        <v>9.0052868079846409E-4</v>
      </c>
      <c r="R81" s="3">
        <v>79</v>
      </c>
      <c r="S81" s="7">
        <f t="shared" ca="1" si="3"/>
        <v>-1.0627911761401247</v>
      </c>
    </row>
    <row r="82" spans="5:19" x14ac:dyDescent="0.35">
      <c r="E82" s="10">
        <v>5.9000000000000998</v>
      </c>
      <c r="F82" s="7">
        <f t="shared" si="2"/>
        <v>7.5208571124559908E-4</v>
      </c>
      <c r="R82" s="3">
        <v>80</v>
      </c>
      <c r="S82" s="7">
        <f t="shared" ca="1" si="3"/>
        <v>-0.35637069283841616</v>
      </c>
    </row>
    <row r="83" spans="5:19" x14ac:dyDescent="0.35">
      <c r="E83" s="10">
        <v>6.1000000000001</v>
      </c>
      <c r="F83" s="7">
        <f t="shared" si="2"/>
        <v>6.3095416852982495E-4</v>
      </c>
      <c r="R83" s="3">
        <v>81</v>
      </c>
      <c r="S83" s="7">
        <f t="shared" ca="1" si="3"/>
        <v>1.9405441388851807</v>
      </c>
    </row>
    <row r="84" spans="5:19" x14ac:dyDescent="0.35">
      <c r="E84" s="10">
        <v>6.3000000000001002</v>
      </c>
      <c r="F84" s="7">
        <f t="shared" si="2"/>
        <v>5.3163407162107714E-4</v>
      </c>
      <c r="R84" s="3">
        <v>82</v>
      </c>
      <c r="S84" s="7">
        <f t="shared" ca="1" si="3"/>
        <v>0.79547217290691219</v>
      </c>
    </row>
    <row r="85" spans="5:19" x14ac:dyDescent="0.35">
      <c r="E85" s="10">
        <v>6.5000000000001004</v>
      </c>
      <c r="F85" s="7">
        <f t="shared" si="2"/>
        <v>4.4981965887890148E-4</v>
      </c>
      <c r="R85" s="3">
        <v>83</v>
      </c>
      <c r="S85" s="7">
        <f t="shared" ca="1" si="3"/>
        <v>2.0062220642560775</v>
      </c>
    </row>
    <row r="86" spans="5:19" x14ac:dyDescent="0.35">
      <c r="E86" s="10">
        <v>6.7000000000000997</v>
      </c>
      <c r="F86" s="7">
        <f t="shared" si="2"/>
        <v>3.8212315830788503E-4</v>
      </c>
      <c r="R86" s="3">
        <v>84</v>
      </c>
      <c r="S86" s="7">
        <f t="shared" ca="1" si="3"/>
        <v>0.49881020670071824</v>
      </c>
    </row>
    <row r="87" spans="5:19" x14ac:dyDescent="0.35">
      <c r="E87" s="10">
        <v>6.9000000000000998</v>
      </c>
      <c r="F87" s="7">
        <f t="shared" si="2"/>
        <v>3.2586593647666921E-4</v>
      </c>
      <c r="R87" s="3">
        <v>85</v>
      </c>
      <c r="S87" s="7">
        <f t="shared" ca="1" si="3"/>
        <v>1.0730372854769037</v>
      </c>
    </row>
    <row r="88" spans="5:19" x14ac:dyDescent="0.35">
      <c r="E88" s="10">
        <v>7.1000000000001</v>
      </c>
      <c r="F88" s="7">
        <f t="shared" si="2"/>
        <v>2.7891984805033582E-4</v>
      </c>
      <c r="R88" s="3">
        <v>86</v>
      </c>
      <c r="S88" s="7">
        <f t="shared" ca="1" si="3"/>
        <v>-0.78767447973724203</v>
      </c>
    </row>
    <row r="89" spans="5:19" x14ac:dyDescent="0.35">
      <c r="E89" s="10">
        <v>7.3000000000001002</v>
      </c>
      <c r="F89" s="7">
        <f t="shared" si="2"/>
        <v>2.3958614763847544E-4</v>
      </c>
      <c r="R89" s="3">
        <v>87</v>
      </c>
      <c r="S89" s="7">
        <f t="shared" ca="1" si="3"/>
        <v>-5.2902200296293147</v>
      </c>
    </row>
    <row r="90" spans="5:19" x14ac:dyDescent="0.35">
      <c r="E90" s="10">
        <v>7.5000000000001004</v>
      </c>
      <c r="F90" s="7">
        <f t="shared" si="2"/>
        <v>2.0650263196999422E-4</v>
      </c>
      <c r="R90" s="3">
        <v>88</v>
      </c>
      <c r="S90" s="7">
        <f t="shared" ca="1" si="3"/>
        <v>0.2221760835626331</v>
      </c>
    </row>
    <row r="91" spans="5:19" x14ac:dyDescent="0.35">
      <c r="E91" s="10">
        <v>7.7000000000000997</v>
      </c>
      <c r="F91" s="7">
        <f t="shared" si="2"/>
        <v>1.7857209473516402E-4</v>
      </c>
      <c r="R91" s="3">
        <v>89</v>
      </c>
      <c r="S91" s="7">
        <f t="shared" ca="1" si="3"/>
        <v>0.38182999559712272</v>
      </c>
    </row>
    <row r="92" spans="5:19" x14ac:dyDescent="0.35">
      <c r="E92" s="10">
        <v>7.9000000000000998</v>
      </c>
      <c r="F92" s="7">
        <f t="shared" si="2"/>
        <v>1.5490694497216761E-4</v>
      </c>
      <c r="R92" s="3">
        <v>90</v>
      </c>
      <c r="S92" s="7">
        <f t="shared" ca="1" si="3"/>
        <v>-0.11010763731184026</v>
      </c>
    </row>
    <row r="93" spans="5:19" x14ac:dyDescent="0.35">
      <c r="E93" s="10">
        <v>8.1000000000000991</v>
      </c>
      <c r="F93" s="7">
        <f t="shared" si="2"/>
        <v>1.3478613992265199E-4</v>
      </c>
      <c r="R93" s="3">
        <v>91</v>
      </c>
      <c r="S93" s="7">
        <f t="shared" ca="1" si="3"/>
        <v>-1.5311078794155248</v>
      </c>
    </row>
    <row r="94" spans="5:19" x14ac:dyDescent="0.35">
      <c r="E94" s="10">
        <v>8.3000000000001002</v>
      </c>
      <c r="F94" s="7">
        <f t="shared" si="2"/>
        <v>1.1762154257033955E-4</v>
      </c>
      <c r="R94" s="3">
        <v>92</v>
      </c>
      <c r="S94" s="7">
        <f t="shared" ca="1" si="3"/>
        <v>-2.0999629473904921E-2</v>
      </c>
    </row>
    <row r="95" spans="5:19" x14ac:dyDescent="0.35">
      <c r="E95" s="10">
        <v>8.5000000000000995</v>
      </c>
      <c r="F95" s="7">
        <f t="shared" si="2"/>
        <v>1.0293152474835408E-4</v>
      </c>
      <c r="R95" s="3">
        <v>93</v>
      </c>
      <c r="S95" s="7">
        <f t="shared" ca="1" si="3"/>
        <v>0.46662258073764096</v>
      </c>
    </row>
    <row r="96" spans="5:19" x14ac:dyDescent="0.35">
      <c r="E96" s="10">
        <v>8.7000000000001005</v>
      </c>
      <c r="F96" s="7">
        <f t="shared" si="2"/>
        <v>9.0320165357025994E-5</v>
      </c>
      <c r="R96" s="3">
        <v>94</v>
      </c>
      <c r="S96" s="7">
        <f t="shared" ca="1" si="3"/>
        <v>-0.9823821781424007</v>
      </c>
    </row>
    <row r="97" spans="5:19" x14ac:dyDescent="0.35">
      <c r="E97" s="10">
        <v>8.9000000000000998</v>
      </c>
      <c r="F97" s="7">
        <f t="shared" si="2"/>
        <v>7.9460788143781482E-5</v>
      </c>
      <c r="R97" s="3">
        <v>95</v>
      </c>
      <c r="S97" s="7">
        <f t="shared" ca="1" si="3"/>
        <v>-0.12924278708064973</v>
      </c>
    </row>
    <row r="98" spans="5:19" x14ac:dyDescent="0.35">
      <c r="E98" s="10">
        <v>9.1000000000000991</v>
      </c>
      <c r="F98" s="7">
        <f t="shared" si="2"/>
        <v>7.0082879749239519E-5</v>
      </c>
      <c r="R98" s="3">
        <v>96</v>
      </c>
      <c r="S98" s="7">
        <f t="shared" ca="1" si="3"/>
        <v>-0.8006386618029806</v>
      </c>
    </row>
    <row r="99" spans="5:19" x14ac:dyDescent="0.35">
      <c r="E99" s="10">
        <v>9.3000000000001002</v>
      </c>
      <c r="F99" s="7">
        <f t="shared" si="2"/>
        <v>6.1961651912101882E-5</v>
      </c>
      <c r="R99" s="3">
        <v>97</v>
      </c>
      <c r="S99" s="7">
        <f t="shared" ca="1" si="3"/>
        <v>-1.3759439609274278</v>
      </c>
    </row>
    <row r="100" spans="5:19" x14ac:dyDescent="0.35">
      <c r="E100" s="10">
        <v>9.5000000000000995</v>
      </c>
      <c r="F100" s="7">
        <f t="shared" si="2"/>
        <v>5.4909680583999848E-5</v>
      </c>
      <c r="R100" s="3">
        <v>98</v>
      </c>
      <c r="S100" s="7">
        <f t="shared" ca="1" si="3"/>
        <v>0.5311466965046443</v>
      </c>
    </row>
    <row r="101" spans="5:19" x14ac:dyDescent="0.35">
      <c r="E101" s="10">
        <v>9.7000000000001005</v>
      </c>
      <c r="F101" s="7">
        <f t="shared" si="2"/>
        <v>4.8770182998912507E-5</v>
      </c>
      <c r="R101" s="3">
        <v>99</v>
      </c>
      <c r="S101" s="7">
        <f t="shared" ca="1" si="3"/>
        <v>-0.88079809410084442</v>
      </c>
    </row>
    <row r="102" spans="5:19" x14ac:dyDescent="0.35">
      <c r="E102" s="10">
        <v>9.9000000000000998</v>
      </c>
      <c r="F102" s="7">
        <f t="shared" si="2"/>
        <v>4.3411591622685021E-5</v>
      </c>
      <c r="R102" s="3">
        <v>100</v>
      </c>
      <c r="S102" s="7">
        <f t="shared" ca="1" si="3"/>
        <v>-1.063679437401458</v>
      </c>
    </row>
    <row r="103" spans="5:19" x14ac:dyDescent="0.35">
      <c r="R103" s="3">
        <v>101</v>
      </c>
      <c r="S103" s="7">
        <f t="shared" ca="1" si="3"/>
        <v>0.62957480264003352</v>
      </c>
    </row>
    <row r="104" spans="5:19" x14ac:dyDescent="0.35">
      <c r="R104" s="3">
        <v>102</v>
      </c>
      <c r="S104" s="7">
        <f t="shared" ca="1" si="3"/>
        <v>-1.2618637648557962</v>
      </c>
    </row>
    <row r="105" spans="5:19" x14ac:dyDescent="0.35">
      <c r="R105" s="3">
        <v>103</v>
      </c>
      <c r="S105" s="7">
        <f t="shared" ca="1" si="3"/>
        <v>0.38978042554293446</v>
      </c>
    </row>
    <row r="106" spans="5:19" x14ac:dyDescent="0.35">
      <c r="R106" s="3">
        <v>104</v>
      </c>
      <c r="S106" s="7">
        <f t="shared" ca="1" si="3"/>
        <v>-0.98831453736385821</v>
      </c>
    </row>
    <row r="107" spans="5:19" x14ac:dyDescent="0.35">
      <c r="R107" s="3">
        <v>105</v>
      </c>
      <c r="S107" s="7">
        <f t="shared" ca="1" si="3"/>
        <v>2.6355327445059098</v>
      </c>
    </row>
    <row r="108" spans="5:19" x14ac:dyDescent="0.35">
      <c r="R108" s="3">
        <v>106</v>
      </c>
      <c r="S108" s="7">
        <f t="shared" ca="1" si="3"/>
        <v>-0.587223426965783</v>
      </c>
    </row>
    <row r="109" spans="5:19" x14ac:dyDescent="0.35">
      <c r="R109" s="3">
        <v>107</v>
      </c>
      <c r="S109" s="7">
        <f t="shared" ca="1" si="3"/>
        <v>-0.6807972490687817</v>
      </c>
    </row>
    <row r="110" spans="5:19" x14ac:dyDescent="0.35">
      <c r="R110" s="3">
        <v>108</v>
      </c>
      <c r="S110" s="7">
        <f t="shared" ca="1" si="3"/>
        <v>-1.3286603274423661</v>
      </c>
    </row>
    <row r="111" spans="5:19" x14ac:dyDescent="0.35">
      <c r="R111" s="3">
        <v>109</v>
      </c>
      <c r="S111" s="7">
        <f t="shared" ca="1" si="3"/>
        <v>0.82755914741306058</v>
      </c>
    </row>
    <row r="112" spans="5:19" x14ac:dyDescent="0.35">
      <c r="R112" s="3">
        <v>110</v>
      </c>
      <c r="S112" s="7">
        <f t="shared" ca="1" si="3"/>
        <v>0.70023468937051681</v>
      </c>
    </row>
    <row r="113" spans="18:19" x14ac:dyDescent="0.35">
      <c r="R113" s="3">
        <v>111</v>
      </c>
      <c r="S113" s="7">
        <f t="shared" ca="1" si="3"/>
        <v>0.68913388428494293</v>
      </c>
    </row>
    <row r="114" spans="18:19" x14ac:dyDescent="0.35">
      <c r="R114" s="3">
        <v>112</v>
      </c>
      <c r="S114" s="7">
        <f t="shared" ca="1" si="3"/>
        <v>0.82486908395199232</v>
      </c>
    </row>
    <row r="115" spans="18:19" x14ac:dyDescent="0.35">
      <c r="R115" s="3">
        <v>113</v>
      </c>
      <c r="S115" s="7">
        <f t="shared" ca="1" si="3"/>
        <v>-1.1912198246188082</v>
      </c>
    </row>
    <row r="116" spans="18:19" x14ac:dyDescent="0.35">
      <c r="R116" s="3">
        <v>114</v>
      </c>
      <c r="S116" s="7">
        <f t="shared" ca="1" si="3"/>
        <v>1.7188916034488595</v>
      </c>
    </row>
    <row r="117" spans="18:19" x14ac:dyDescent="0.35">
      <c r="R117" s="3">
        <v>115</v>
      </c>
      <c r="S117" s="7">
        <f t="shared" ca="1" si="3"/>
        <v>-2.3697670467371528</v>
      </c>
    </row>
    <row r="118" spans="18:19" x14ac:dyDescent="0.35">
      <c r="R118" s="3">
        <v>116</v>
      </c>
      <c r="S118" s="7">
        <f t="shared" ca="1" si="3"/>
        <v>-0.11382793438998877</v>
      </c>
    </row>
    <row r="119" spans="18:19" x14ac:dyDescent="0.35">
      <c r="R119" s="3">
        <v>117</v>
      </c>
      <c r="S119" s="7">
        <f t="shared" ca="1" si="3"/>
        <v>0.19843155333512341</v>
      </c>
    </row>
    <row r="120" spans="18:19" x14ac:dyDescent="0.35">
      <c r="R120" s="3">
        <v>118</v>
      </c>
      <c r="S120" s="7">
        <f t="shared" ca="1" si="3"/>
        <v>-1.0900354791944979</v>
      </c>
    </row>
    <row r="121" spans="18:19" x14ac:dyDescent="0.35">
      <c r="R121" s="3">
        <v>119</v>
      </c>
      <c r="S121" s="7">
        <f t="shared" ca="1" si="3"/>
        <v>4.4740005792088402</v>
      </c>
    </row>
    <row r="122" spans="18:19" x14ac:dyDescent="0.35">
      <c r="R122" s="3">
        <v>120</v>
      </c>
      <c r="S122" s="7">
        <f t="shared" ca="1" si="3"/>
        <v>0.42132752643463206</v>
      </c>
    </row>
    <row r="123" spans="18:19" x14ac:dyDescent="0.35">
      <c r="R123" s="3">
        <v>121</v>
      </c>
      <c r="S123" s="7">
        <f t="shared" ca="1" si="3"/>
        <v>0.66669409588692763</v>
      </c>
    </row>
    <row r="124" spans="18:19" x14ac:dyDescent="0.35">
      <c r="R124" s="3">
        <v>122</v>
      </c>
      <c r="S124" s="7">
        <f t="shared" ca="1" si="3"/>
        <v>-2.4848255740254612</v>
      </c>
    </row>
    <row r="125" spans="18:19" x14ac:dyDescent="0.35">
      <c r="R125" s="3">
        <v>123</v>
      </c>
      <c r="S125" s="7">
        <f t="shared" ca="1" si="3"/>
        <v>-0.50500710203687882</v>
      </c>
    </row>
    <row r="126" spans="18:19" x14ac:dyDescent="0.35">
      <c r="R126" s="3">
        <v>124</v>
      </c>
      <c r="S126" s="7">
        <f t="shared" ca="1" si="3"/>
        <v>5.4963058870843268E-2</v>
      </c>
    </row>
    <row r="127" spans="18:19" x14ac:dyDescent="0.35">
      <c r="R127" s="3">
        <v>125</v>
      </c>
      <c r="S127" s="7">
        <f t="shared" ca="1" si="3"/>
        <v>-0.39379877453702328</v>
      </c>
    </row>
    <row r="128" spans="18:19" x14ac:dyDescent="0.35">
      <c r="R128" s="3">
        <v>126</v>
      </c>
      <c r="S128" s="7">
        <f t="shared" ca="1" si="3"/>
        <v>-5.2036805847321149E-2</v>
      </c>
    </row>
    <row r="129" spans="18:19" x14ac:dyDescent="0.35">
      <c r="R129" s="3">
        <v>127</v>
      </c>
      <c r="S129" s="7">
        <f t="shared" ca="1" si="3"/>
        <v>1.6032769478092224</v>
      </c>
    </row>
    <row r="130" spans="18:19" x14ac:dyDescent="0.35">
      <c r="R130" s="3">
        <v>128</v>
      </c>
      <c r="S130" s="7">
        <f t="shared" ca="1" si="3"/>
        <v>1.871824026587775</v>
      </c>
    </row>
    <row r="131" spans="18:19" x14ac:dyDescent="0.35">
      <c r="R131" s="3">
        <v>129</v>
      </c>
      <c r="S131" s="7">
        <f t="shared" ca="1" si="3"/>
        <v>0.47696140415964011</v>
      </c>
    </row>
    <row r="132" spans="18:19" x14ac:dyDescent="0.35">
      <c r="R132" s="3">
        <v>130</v>
      </c>
      <c r="S132" s="7">
        <f t="shared" ref="S132:S195" ca="1" si="4">_xlfn.T.INV(RAND(),C$3)</f>
        <v>-0.54355781175005213</v>
      </c>
    </row>
    <row r="133" spans="18:19" x14ac:dyDescent="0.35">
      <c r="R133" s="3">
        <v>131</v>
      </c>
      <c r="S133" s="7">
        <f t="shared" ca="1" si="4"/>
        <v>1.0512844084345305</v>
      </c>
    </row>
    <row r="134" spans="18:19" x14ac:dyDescent="0.35">
      <c r="R134" s="3">
        <v>132</v>
      </c>
      <c r="S134" s="7">
        <f t="shared" ca="1" si="4"/>
        <v>0.25919625560371878</v>
      </c>
    </row>
    <row r="135" spans="18:19" x14ac:dyDescent="0.35">
      <c r="R135" s="3">
        <v>133</v>
      </c>
      <c r="S135" s="7">
        <f t="shared" ca="1" si="4"/>
        <v>-1.8596934084054377</v>
      </c>
    </row>
    <row r="136" spans="18:19" x14ac:dyDescent="0.35">
      <c r="R136" s="3">
        <v>134</v>
      </c>
      <c r="S136" s="7">
        <f t="shared" ca="1" si="4"/>
        <v>-0.44790208374527934</v>
      </c>
    </row>
    <row r="137" spans="18:19" x14ac:dyDescent="0.35">
      <c r="R137" s="3">
        <v>135</v>
      </c>
      <c r="S137" s="7">
        <f t="shared" ca="1" si="4"/>
        <v>-0.62023361975984115</v>
      </c>
    </row>
    <row r="138" spans="18:19" x14ac:dyDescent="0.35">
      <c r="R138" s="3">
        <v>136</v>
      </c>
      <c r="S138" s="7">
        <f t="shared" ca="1" si="4"/>
        <v>-0.97285719305401464</v>
      </c>
    </row>
    <row r="139" spans="18:19" x14ac:dyDescent="0.35">
      <c r="R139" s="3">
        <v>137</v>
      </c>
      <c r="S139" s="7">
        <f t="shared" ca="1" si="4"/>
        <v>-0.39246828784097793</v>
      </c>
    </row>
    <row r="140" spans="18:19" x14ac:dyDescent="0.35">
      <c r="R140" s="3">
        <v>138</v>
      </c>
      <c r="S140" s="7">
        <f t="shared" ca="1" si="4"/>
        <v>-0.53196648672260571</v>
      </c>
    </row>
    <row r="141" spans="18:19" x14ac:dyDescent="0.35">
      <c r="R141" s="3">
        <v>139</v>
      </c>
      <c r="S141" s="7">
        <f t="shared" ca="1" si="4"/>
        <v>1.4353230317435154E-2</v>
      </c>
    </row>
    <row r="142" spans="18:19" x14ac:dyDescent="0.35">
      <c r="R142" s="3">
        <v>140</v>
      </c>
      <c r="S142" s="7">
        <f t="shared" ca="1" si="4"/>
        <v>-0.6561667144862301</v>
      </c>
    </row>
    <row r="143" spans="18:19" x14ac:dyDescent="0.35">
      <c r="R143" s="3">
        <v>141</v>
      </c>
      <c r="S143" s="7">
        <f t="shared" ca="1" si="4"/>
        <v>0.23709131333330619</v>
      </c>
    </row>
    <row r="144" spans="18:19" x14ac:dyDescent="0.35">
      <c r="R144" s="3">
        <v>142</v>
      </c>
      <c r="S144" s="7">
        <f t="shared" ca="1" si="4"/>
        <v>-0.82046207258218773</v>
      </c>
    </row>
    <row r="145" spans="18:19" x14ac:dyDescent="0.35">
      <c r="R145" s="3">
        <v>143</v>
      </c>
      <c r="S145" s="7">
        <f t="shared" ca="1" si="4"/>
        <v>0.57199441911682336</v>
      </c>
    </row>
    <row r="146" spans="18:19" x14ac:dyDescent="0.35">
      <c r="R146" s="3">
        <v>144</v>
      </c>
      <c r="S146" s="7">
        <f t="shared" ca="1" si="4"/>
        <v>-1.9098889852505769</v>
      </c>
    </row>
    <row r="147" spans="18:19" x14ac:dyDescent="0.35">
      <c r="R147" s="3">
        <v>145</v>
      </c>
      <c r="S147" s="7">
        <f t="shared" ca="1" si="4"/>
        <v>-0.1456565301267147</v>
      </c>
    </row>
    <row r="148" spans="18:19" x14ac:dyDescent="0.35">
      <c r="R148" s="3">
        <v>146</v>
      </c>
      <c r="S148" s="7">
        <f t="shared" ca="1" si="4"/>
        <v>1.7150763488619083</v>
      </c>
    </row>
    <row r="149" spans="18:19" x14ac:dyDescent="0.35">
      <c r="R149" s="3">
        <v>147</v>
      </c>
      <c r="S149" s="7">
        <f t="shared" ca="1" si="4"/>
        <v>-0.17465692525295842</v>
      </c>
    </row>
    <row r="150" spans="18:19" x14ac:dyDescent="0.35">
      <c r="R150" s="3">
        <v>148</v>
      </c>
      <c r="S150" s="7">
        <f t="shared" ca="1" si="4"/>
        <v>0.72034607224766123</v>
      </c>
    </row>
    <row r="151" spans="18:19" x14ac:dyDescent="0.35">
      <c r="R151" s="3">
        <v>149</v>
      </c>
      <c r="S151" s="7">
        <f t="shared" ca="1" si="4"/>
        <v>0.80973292453550183</v>
      </c>
    </row>
    <row r="152" spans="18:19" x14ac:dyDescent="0.35">
      <c r="R152" s="3">
        <v>150</v>
      </c>
      <c r="S152" s="7">
        <f t="shared" ca="1" si="4"/>
        <v>-1.2797725600553442</v>
      </c>
    </row>
    <row r="153" spans="18:19" x14ac:dyDescent="0.35">
      <c r="R153" s="3">
        <v>151</v>
      </c>
      <c r="S153" s="7">
        <f t="shared" ca="1" si="4"/>
        <v>0.3721024845462792</v>
      </c>
    </row>
    <row r="154" spans="18:19" x14ac:dyDescent="0.35">
      <c r="R154" s="3">
        <v>152</v>
      </c>
      <c r="S154" s="7">
        <f t="shared" ca="1" si="4"/>
        <v>-7.1254036938371484E-2</v>
      </c>
    </row>
    <row r="155" spans="18:19" x14ac:dyDescent="0.35">
      <c r="R155" s="3">
        <v>153</v>
      </c>
      <c r="S155" s="7">
        <f t="shared" ca="1" si="4"/>
        <v>2.2158533919345937</v>
      </c>
    </row>
    <row r="156" spans="18:19" x14ac:dyDescent="0.35">
      <c r="R156" s="3">
        <v>154</v>
      </c>
      <c r="S156" s="7">
        <f t="shared" ca="1" si="4"/>
        <v>-1.6203593928718776</v>
      </c>
    </row>
    <row r="157" spans="18:19" x14ac:dyDescent="0.35">
      <c r="R157" s="3">
        <v>155</v>
      </c>
      <c r="S157" s="7">
        <f t="shared" ca="1" si="4"/>
        <v>-1.2466836033262834</v>
      </c>
    </row>
    <row r="158" spans="18:19" x14ac:dyDescent="0.35">
      <c r="R158" s="3">
        <v>156</v>
      </c>
      <c r="S158" s="7">
        <f t="shared" ca="1" si="4"/>
        <v>-0.33975442037462894</v>
      </c>
    </row>
    <row r="159" spans="18:19" x14ac:dyDescent="0.35">
      <c r="R159" s="3">
        <v>157</v>
      </c>
      <c r="S159" s="7">
        <f t="shared" ca="1" si="4"/>
        <v>-0.31251535863432217</v>
      </c>
    </row>
    <row r="160" spans="18:19" x14ac:dyDescent="0.35">
      <c r="R160" s="3">
        <v>158</v>
      </c>
      <c r="S160" s="7">
        <f t="shared" ca="1" si="4"/>
        <v>0.93484266099248892</v>
      </c>
    </row>
    <row r="161" spans="18:19" x14ac:dyDescent="0.35">
      <c r="R161" s="3">
        <v>159</v>
      </c>
      <c r="S161" s="7">
        <f t="shared" ca="1" si="4"/>
        <v>-0.7027671205451238</v>
      </c>
    </row>
    <row r="162" spans="18:19" x14ac:dyDescent="0.35">
      <c r="R162" s="3">
        <v>160</v>
      </c>
      <c r="S162" s="7">
        <f t="shared" ca="1" si="4"/>
        <v>0.93325108066639184</v>
      </c>
    </row>
    <row r="163" spans="18:19" x14ac:dyDescent="0.35">
      <c r="R163" s="3">
        <v>161</v>
      </c>
      <c r="S163" s="7">
        <f t="shared" ca="1" si="4"/>
        <v>0.28682070730183773</v>
      </c>
    </row>
    <row r="164" spans="18:19" x14ac:dyDescent="0.35">
      <c r="R164" s="3">
        <v>162</v>
      </c>
      <c r="S164" s="7">
        <f t="shared" ca="1" si="4"/>
        <v>1.1425598940645927</v>
      </c>
    </row>
    <row r="165" spans="18:19" x14ac:dyDescent="0.35">
      <c r="R165" s="3">
        <v>163</v>
      </c>
      <c r="S165" s="7">
        <f t="shared" ca="1" si="4"/>
        <v>1.9774592327408038</v>
      </c>
    </row>
    <row r="166" spans="18:19" x14ac:dyDescent="0.35">
      <c r="R166" s="3">
        <v>164</v>
      </c>
      <c r="S166" s="7">
        <f t="shared" ca="1" si="4"/>
        <v>-0.91083746706925106</v>
      </c>
    </row>
    <row r="167" spans="18:19" x14ac:dyDescent="0.35">
      <c r="R167" s="3">
        <v>165</v>
      </c>
      <c r="S167" s="7">
        <f t="shared" ca="1" si="4"/>
        <v>-0.21064829144924771</v>
      </c>
    </row>
    <row r="168" spans="18:19" x14ac:dyDescent="0.35">
      <c r="R168" s="3">
        <v>166</v>
      </c>
      <c r="S168" s="7">
        <f t="shared" ca="1" si="4"/>
        <v>-1.2580977562874436</v>
      </c>
    </row>
    <row r="169" spans="18:19" x14ac:dyDescent="0.35">
      <c r="R169" s="3">
        <v>167</v>
      </c>
      <c r="S169" s="7">
        <f t="shared" ca="1" si="4"/>
        <v>-0.35849248961529556</v>
      </c>
    </row>
    <row r="170" spans="18:19" x14ac:dyDescent="0.35">
      <c r="R170" s="3">
        <v>168</v>
      </c>
      <c r="S170" s="7">
        <f t="shared" ca="1" si="4"/>
        <v>-1.2079895485295469</v>
      </c>
    </row>
    <row r="171" spans="18:19" x14ac:dyDescent="0.35">
      <c r="R171" s="3">
        <v>169</v>
      </c>
      <c r="S171" s="7">
        <f t="shared" ca="1" si="4"/>
        <v>-2.3064961630013885</v>
      </c>
    </row>
    <row r="172" spans="18:19" x14ac:dyDescent="0.35">
      <c r="R172" s="3">
        <v>170</v>
      </c>
      <c r="S172" s="7">
        <f t="shared" ca="1" si="4"/>
        <v>1.5025885374683532</v>
      </c>
    </row>
    <row r="173" spans="18:19" x14ac:dyDescent="0.35">
      <c r="R173" s="3">
        <v>171</v>
      </c>
      <c r="S173" s="7">
        <f t="shared" ca="1" si="4"/>
        <v>-7.5716350285667533E-2</v>
      </c>
    </row>
    <row r="174" spans="18:19" x14ac:dyDescent="0.35">
      <c r="R174" s="3">
        <v>172</v>
      </c>
      <c r="S174" s="7">
        <f t="shared" ca="1" si="4"/>
        <v>0.20977164239586771</v>
      </c>
    </row>
    <row r="175" spans="18:19" x14ac:dyDescent="0.35">
      <c r="R175" s="3">
        <v>173</v>
      </c>
      <c r="S175" s="7">
        <f t="shared" ca="1" si="4"/>
        <v>8.2752820628258103E-2</v>
      </c>
    </row>
    <row r="176" spans="18:19" x14ac:dyDescent="0.35">
      <c r="R176" s="3">
        <v>174</v>
      </c>
      <c r="S176" s="7">
        <f t="shared" ca="1" si="4"/>
        <v>4.77462305871087</v>
      </c>
    </row>
    <row r="177" spans="18:19" x14ac:dyDescent="0.35">
      <c r="R177" s="3">
        <v>175</v>
      </c>
      <c r="S177" s="7">
        <f t="shared" ca="1" si="4"/>
        <v>1.1749532761486776</v>
      </c>
    </row>
    <row r="178" spans="18:19" x14ac:dyDescent="0.35">
      <c r="R178" s="3">
        <v>176</v>
      </c>
      <c r="S178" s="7">
        <f t="shared" ca="1" si="4"/>
        <v>0.71448117933082667</v>
      </c>
    </row>
    <row r="179" spans="18:19" x14ac:dyDescent="0.35">
      <c r="R179" s="3">
        <v>177</v>
      </c>
      <c r="S179" s="7">
        <f t="shared" ca="1" si="4"/>
        <v>1.0556441304376616</v>
      </c>
    </row>
    <row r="180" spans="18:19" x14ac:dyDescent="0.35">
      <c r="R180" s="3">
        <v>178</v>
      </c>
      <c r="S180" s="7">
        <f t="shared" ca="1" si="4"/>
        <v>-1.0936460561232308</v>
      </c>
    </row>
    <row r="181" spans="18:19" x14ac:dyDescent="0.35">
      <c r="R181" s="3">
        <v>179</v>
      </c>
      <c r="S181" s="7">
        <f t="shared" ca="1" si="4"/>
        <v>1.3847048496572656</v>
      </c>
    </row>
    <row r="182" spans="18:19" x14ac:dyDescent="0.35">
      <c r="R182" s="3">
        <v>180</v>
      </c>
      <c r="S182" s="7">
        <f t="shared" ca="1" si="4"/>
        <v>-1.1677799680163312</v>
      </c>
    </row>
    <row r="183" spans="18:19" x14ac:dyDescent="0.35">
      <c r="R183" s="3">
        <v>181</v>
      </c>
      <c r="S183" s="7">
        <f t="shared" ca="1" si="4"/>
        <v>0.944476321569377</v>
      </c>
    </row>
    <row r="184" spans="18:19" x14ac:dyDescent="0.35">
      <c r="R184" s="3">
        <v>182</v>
      </c>
      <c r="S184" s="7">
        <f t="shared" ca="1" si="4"/>
        <v>2.4244988510614647</v>
      </c>
    </row>
    <row r="185" spans="18:19" x14ac:dyDescent="0.35">
      <c r="R185" s="3">
        <v>183</v>
      </c>
      <c r="S185" s="7">
        <f t="shared" ca="1" si="4"/>
        <v>-0.29573337363432217</v>
      </c>
    </row>
    <row r="186" spans="18:19" x14ac:dyDescent="0.35">
      <c r="R186" s="3">
        <v>184</v>
      </c>
      <c r="S186" s="7">
        <f t="shared" ca="1" si="4"/>
        <v>-3.2074640954930254E-2</v>
      </c>
    </row>
    <row r="187" spans="18:19" x14ac:dyDescent="0.35">
      <c r="R187" s="3">
        <v>185</v>
      </c>
      <c r="S187" s="7">
        <f t="shared" ca="1" si="4"/>
        <v>-1.6660557613925118</v>
      </c>
    </row>
    <row r="188" spans="18:19" x14ac:dyDescent="0.35">
      <c r="R188" s="3">
        <v>186</v>
      </c>
      <c r="S188" s="7">
        <f t="shared" ca="1" si="4"/>
        <v>0.72690259989147965</v>
      </c>
    </row>
    <row r="189" spans="18:19" x14ac:dyDescent="0.35">
      <c r="R189" s="3">
        <v>187</v>
      </c>
      <c r="S189" s="7">
        <f t="shared" ca="1" si="4"/>
        <v>0.83536395935066243</v>
      </c>
    </row>
    <row r="190" spans="18:19" x14ac:dyDescent="0.35">
      <c r="R190" s="3">
        <v>188</v>
      </c>
      <c r="S190" s="7">
        <f t="shared" ca="1" si="4"/>
        <v>-0.1704018525756264</v>
      </c>
    </row>
    <row r="191" spans="18:19" x14ac:dyDescent="0.35">
      <c r="R191" s="3">
        <v>189</v>
      </c>
      <c r="S191" s="7">
        <f t="shared" ca="1" si="4"/>
        <v>1.0039904232105052</v>
      </c>
    </row>
    <row r="192" spans="18:19" x14ac:dyDescent="0.35">
      <c r="R192" s="3">
        <v>190</v>
      </c>
      <c r="S192" s="7">
        <f t="shared" ca="1" si="4"/>
        <v>-0.49782775971316756</v>
      </c>
    </row>
    <row r="193" spans="18:19" x14ac:dyDescent="0.35">
      <c r="R193" s="3">
        <v>191</v>
      </c>
      <c r="S193" s="7">
        <f t="shared" ca="1" si="4"/>
        <v>0.55967731376860752</v>
      </c>
    </row>
    <row r="194" spans="18:19" x14ac:dyDescent="0.35">
      <c r="R194" s="3">
        <v>192</v>
      </c>
      <c r="S194" s="7">
        <f t="shared" ca="1" si="4"/>
        <v>0.40570637627551903</v>
      </c>
    </row>
    <row r="195" spans="18:19" x14ac:dyDescent="0.35">
      <c r="R195" s="3">
        <v>193</v>
      </c>
      <c r="S195" s="7">
        <f t="shared" ca="1" si="4"/>
        <v>-0.83238752232887547</v>
      </c>
    </row>
    <row r="196" spans="18:19" x14ac:dyDescent="0.35">
      <c r="R196" s="3">
        <v>194</v>
      </c>
      <c r="S196" s="7">
        <f t="shared" ref="S196:S259" ca="1" si="5">_xlfn.T.INV(RAND(),C$3)</f>
        <v>-0.7129573004429044</v>
      </c>
    </row>
    <row r="197" spans="18:19" x14ac:dyDescent="0.35">
      <c r="R197" s="3">
        <v>195</v>
      </c>
      <c r="S197" s="7">
        <f t="shared" ca="1" si="5"/>
        <v>-1.223913264686189</v>
      </c>
    </row>
    <row r="198" spans="18:19" x14ac:dyDescent="0.35">
      <c r="R198" s="3">
        <v>196</v>
      </c>
      <c r="S198" s="7">
        <f t="shared" ca="1" si="5"/>
        <v>-0.36882795129998902</v>
      </c>
    </row>
    <row r="199" spans="18:19" x14ac:dyDescent="0.35">
      <c r="R199" s="3">
        <v>197</v>
      </c>
      <c r="S199" s="7">
        <f t="shared" ca="1" si="5"/>
        <v>-2.1062605495979635E-3</v>
      </c>
    </row>
    <row r="200" spans="18:19" x14ac:dyDescent="0.35">
      <c r="R200" s="3">
        <v>198</v>
      </c>
      <c r="S200" s="7">
        <f t="shared" ca="1" si="5"/>
        <v>-2.7814803936032333</v>
      </c>
    </row>
    <row r="201" spans="18:19" x14ac:dyDescent="0.35">
      <c r="R201" s="3">
        <v>199</v>
      </c>
      <c r="S201" s="7">
        <f t="shared" ca="1" si="5"/>
        <v>0.44164634735770292</v>
      </c>
    </row>
    <row r="202" spans="18:19" x14ac:dyDescent="0.35">
      <c r="R202" s="3">
        <v>200</v>
      </c>
      <c r="S202" s="7">
        <f t="shared" ca="1" si="5"/>
        <v>0.1449801282646106</v>
      </c>
    </row>
    <row r="203" spans="18:19" x14ac:dyDescent="0.35">
      <c r="R203" s="3">
        <v>201</v>
      </c>
      <c r="S203" s="7">
        <f t="shared" ca="1" si="5"/>
        <v>-0.86251850110309281</v>
      </c>
    </row>
    <row r="204" spans="18:19" x14ac:dyDescent="0.35">
      <c r="R204" s="3">
        <v>202</v>
      </c>
      <c r="S204" s="7">
        <f t="shared" ca="1" si="5"/>
        <v>-0.30960150311711565</v>
      </c>
    </row>
    <row r="205" spans="18:19" x14ac:dyDescent="0.35">
      <c r="R205" s="3">
        <v>203</v>
      </c>
      <c r="S205" s="7">
        <f t="shared" ca="1" si="5"/>
        <v>-0.37265074006724858</v>
      </c>
    </row>
    <row r="206" spans="18:19" x14ac:dyDescent="0.35">
      <c r="R206" s="3">
        <v>204</v>
      </c>
      <c r="S206" s="7">
        <f t="shared" ca="1" si="5"/>
        <v>-0.24502517689411704</v>
      </c>
    </row>
    <row r="207" spans="18:19" x14ac:dyDescent="0.35">
      <c r="R207" s="3">
        <v>205</v>
      </c>
      <c r="S207" s="7">
        <f t="shared" ca="1" si="5"/>
        <v>0.25713031782875917</v>
      </c>
    </row>
    <row r="208" spans="18:19" x14ac:dyDescent="0.35">
      <c r="R208" s="3">
        <v>206</v>
      </c>
      <c r="S208" s="7">
        <f t="shared" ca="1" si="5"/>
        <v>0.8890658758702662</v>
      </c>
    </row>
    <row r="209" spans="18:19" x14ac:dyDescent="0.35">
      <c r="R209" s="3">
        <v>207</v>
      </c>
      <c r="S209" s="7">
        <f t="shared" ca="1" si="5"/>
        <v>4.8625813709908146</v>
      </c>
    </row>
    <row r="210" spans="18:19" x14ac:dyDescent="0.35">
      <c r="R210" s="3">
        <v>208</v>
      </c>
      <c r="S210" s="7">
        <f t="shared" ca="1" si="5"/>
        <v>-0.28940594862474966</v>
      </c>
    </row>
    <row r="211" spans="18:19" x14ac:dyDescent="0.35">
      <c r="R211" s="3">
        <v>209</v>
      </c>
      <c r="S211" s="7">
        <f t="shared" ca="1" si="5"/>
        <v>-0.41836980745910779</v>
      </c>
    </row>
    <row r="212" spans="18:19" x14ac:dyDescent="0.35">
      <c r="R212" s="3">
        <v>210</v>
      </c>
      <c r="S212" s="7">
        <f t="shared" ca="1" si="5"/>
        <v>-9.2968266519815809E-2</v>
      </c>
    </row>
    <row r="213" spans="18:19" x14ac:dyDescent="0.35">
      <c r="R213" s="3">
        <v>211</v>
      </c>
      <c r="S213" s="7">
        <f t="shared" ca="1" si="5"/>
        <v>-0.97539345466139948</v>
      </c>
    </row>
    <row r="214" spans="18:19" x14ac:dyDescent="0.35">
      <c r="R214" s="3">
        <v>212</v>
      </c>
      <c r="S214" s="7">
        <f t="shared" ca="1" si="5"/>
        <v>-0.3391792147150034</v>
      </c>
    </row>
    <row r="215" spans="18:19" x14ac:dyDescent="0.35">
      <c r="R215" s="3">
        <v>213</v>
      </c>
      <c r="S215" s="7">
        <f t="shared" ca="1" si="5"/>
        <v>-0.76924560533202979</v>
      </c>
    </row>
    <row r="216" spans="18:19" x14ac:dyDescent="0.35">
      <c r="R216" s="3">
        <v>214</v>
      </c>
      <c r="S216" s="7">
        <f t="shared" ca="1" si="5"/>
        <v>1.2126267252455116</v>
      </c>
    </row>
    <row r="217" spans="18:19" x14ac:dyDescent="0.35">
      <c r="R217" s="3">
        <v>215</v>
      </c>
      <c r="S217" s="7">
        <f t="shared" ca="1" si="5"/>
        <v>-1.6438395563066417</v>
      </c>
    </row>
    <row r="218" spans="18:19" x14ac:dyDescent="0.35">
      <c r="R218" s="3">
        <v>216</v>
      </c>
      <c r="S218" s="7">
        <f t="shared" ca="1" si="5"/>
        <v>-1.8527086043818781</v>
      </c>
    </row>
    <row r="219" spans="18:19" x14ac:dyDescent="0.35">
      <c r="R219" s="3">
        <v>217</v>
      </c>
      <c r="S219" s="7">
        <f t="shared" ca="1" si="5"/>
        <v>0.28200004924440003</v>
      </c>
    </row>
    <row r="220" spans="18:19" x14ac:dyDescent="0.35">
      <c r="R220" s="3">
        <v>218</v>
      </c>
      <c r="S220" s="7">
        <f t="shared" ca="1" si="5"/>
        <v>-7.8609463231103822</v>
      </c>
    </row>
    <row r="221" spans="18:19" x14ac:dyDescent="0.35">
      <c r="R221" s="3">
        <v>219</v>
      </c>
      <c r="S221" s="7">
        <f t="shared" ca="1" si="5"/>
        <v>0.13746052100982864</v>
      </c>
    </row>
    <row r="222" spans="18:19" x14ac:dyDescent="0.35">
      <c r="R222" s="3">
        <v>220</v>
      </c>
      <c r="S222" s="7">
        <f t="shared" ca="1" si="5"/>
        <v>0.25410985644043371</v>
      </c>
    </row>
    <row r="223" spans="18:19" x14ac:dyDescent="0.35">
      <c r="R223" s="3">
        <v>221</v>
      </c>
      <c r="S223" s="7">
        <f t="shared" ca="1" si="5"/>
        <v>1.6708381257688336</v>
      </c>
    </row>
    <row r="224" spans="18:19" x14ac:dyDescent="0.35">
      <c r="R224" s="3">
        <v>222</v>
      </c>
      <c r="S224" s="7">
        <f t="shared" ca="1" si="5"/>
        <v>0.9019231111426933</v>
      </c>
    </row>
    <row r="225" spans="18:19" x14ac:dyDescent="0.35">
      <c r="R225" s="3">
        <v>223</v>
      </c>
      <c r="S225" s="7">
        <f t="shared" ca="1" si="5"/>
        <v>-1.3508218208044585</v>
      </c>
    </row>
    <row r="226" spans="18:19" x14ac:dyDescent="0.35">
      <c r="R226" s="3">
        <v>224</v>
      </c>
      <c r="S226" s="7">
        <f t="shared" ca="1" si="5"/>
        <v>-0.88451072730118196</v>
      </c>
    </row>
    <row r="227" spans="18:19" x14ac:dyDescent="0.35">
      <c r="R227" s="3">
        <v>225</v>
      </c>
      <c r="S227" s="7">
        <f t="shared" ca="1" si="5"/>
        <v>-1.6989128601369039</v>
      </c>
    </row>
    <row r="228" spans="18:19" x14ac:dyDescent="0.35">
      <c r="R228" s="3">
        <v>226</v>
      </c>
      <c r="S228" s="7">
        <f t="shared" ca="1" si="5"/>
        <v>-0.88009302671239842</v>
      </c>
    </row>
    <row r="229" spans="18:19" x14ac:dyDescent="0.35">
      <c r="R229" s="3">
        <v>227</v>
      </c>
      <c r="S229" s="7">
        <f t="shared" ca="1" si="5"/>
        <v>-1.0179827861303568</v>
      </c>
    </row>
    <row r="230" spans="18:19" x14ac:dyDescent="0.35">
      <c r="R230" s="3">
        <v>228</v>
      </c>
      <c r="S230" s="7">
        <f t="shared" ca="1" si="5"/>
        <v>0.13206413031814485</v>
      </c>
    </row>
    <row r="231" spans="18:19" x14ac:dyDescent="0.35">
      <c r="R231" s="3">
        <v>229</v>
      </c>
      <c r="S231" s="7">
        <f t="shared" ca="1" si="5"/>
        <v>1.2439726925799479</v>
      </c>
    </row>
    <row r="232" spans="18:19" x14ac:dyDescent="0.35">
      <c r="R232" s="3">
        <v>230</v>
      </c>
      <c r="S232" s="7">
        <f t="shared" ca="1" si="5"/>
        <v>1.6127250104523478</v>
      </c>
    </row>
    <row r="233" spans="18:19" x14ac:dyDescent="0.35">
      <c r="R233" s="3">
        <v>231</v>
      </c>
      <c r="S233" s="7">
        <f t="shared" ca="1" si="5"/>
        <v>1.2225718094095539</v>
      </c>
    </row>
    <row r="234" spans="18:19" x14ac:dyDescent="0.35">
      <c r="R234" s="3">
        <v>232</v>
      </c>
      <c r="S234" s="7">
        <f t="shared" ca="1" si="5"/>
        <v>0.5741090306286537</v>
      </c>
    </row>
    <row r="235" spans="18:19" x14ac:dyDescent="0.35">
      <c r="R235" s="3">
        <v>233</v>
      </c>
      <c r="S235" s="7">
        <f t="shared" ca="1" si="5"/>
        <v>2.4101349949850475</v>
      </c>
    </row>
    <row r="236" spans="18:19" x14ac:dyDescent="0.35">
      <c r="R236" s="3">
        <v>234</v>
      </c>
      <c r="S236" s="7">
        <f t="shared" ca="1" si="5"/>
        <v>0.24759613754492951</v>
      </c>
    </row>
    <row r="237" spans="18:19" x14ac:dyDescent="0.35">
      <c r="R237" s="3">
        <v>235</v>
      </c>
      <c r="S237" s="7">
        <f t="shared" ca="1" si="5"/>
        <v>8.098805317161728E-3</v>
      </c>
    </row>
    <row r="238" spans="18:19" x14ac:dyDescent="0.35">
      <c r="R238" s="3">
        <v>236</v>
      </c>
      <c r="S238" s="7">
        <f t="shared" ca="1" si="5"/>
        <v>-0.77965036755416284</v>
      </c>
    </row>
    <row r="239" spans="18:19" x14ac:dyDescent="0.35">
      <c r="R239" s="3">
        <v>237</v>
      </c>
      <c r="S239" s="7">
        <f t="shared" ca="1" si="5"/>
        <v>-0.35713774440594021</v>
      </c>
    </row>
    <row r="240" spans="18:19" x14ac:dyDescent="0.35">
      <c r="R240" s="3">
        <v>238</v>
      </c>
      <c r="S240" s="7">
        <f t="shared" ca="1" si="5"/>
        <v>1.0746182869651522</v>
      </c>
    </row>
    <row r="241" spans="18:19" x14ac:dyDescent="0.35">
      <c r="R241" s="3">
        <v>239</v>
      </c>
      <c r="S241" s="7">
        <f t="shared" ca="1" si="5"/>
        <v>-1.5608834728045431</v>
      </c>
    </row>
    <row r="242" spans="18:19" x14ac:dyDescent="0.35">
      <c r="R242" s="3">
        <v>240</v>
      </c>
      <c r="S242" s="7">
        <f t="shared" ca="1" si="5"/>
        <v>0.57277331618592464</v>
      </c>
    </row>
    <row r="243" spans="18:19" x14ac:dyDescent="0.35">
      <c r="R243" s="3">
        <v>241</v>
      </c>
      <c r="S243" s="7">
        <f t="shared" ca="1" si="5"/>
        <v>-0.45708944561442832</v>
      </c>
    </row>
    <row r="244" spans="18:19" x14ac:dyDescent="0.35">
      <c r="R244" s="3">
        <v>242</v>
      </c>
      <c r="S244" s="7">
        <f t="shared" ca="1" si="5"/>
        <v>-0.65620357799790974</v>
      </c>
    </row>
    <row r="245" spans="18:19" x14ac:dyDescent="0.35">
      <c r="R245" s="3">
        <v>243</v>
      </c>
      <c r="S245" s="7">
        <f t="shared" ca="1" si="5"/>
        <v>0.92332957235985191</v>
      </c>
    </row>
    <row r="246" spans="18:19" x14ac:dyDescent="0.35">
      <c r="R246" s="3">
        <v>244</v>
      </c>
      <c r="S246" s="7">
        <f t="shared" ca="1" si="5"/>
        <v>1.3509099168795928</v>
      </c>
    </row>
    <row r="247" spans="18:19" x14ac:dyDescent="0.35">
      <c r="R247" s="3">
        <v>245</v>
      </c>
      <c r="S247" s="7">
        <f t="shared" ca="1" si="5"/>
        <v>1.0218253332181388</v>
      </c>
    </row>
    <row r="248" spans="18:19" x14ac:dyDescent="0.35">
      <c r="R248" s="3">
        <v>246</v>
      </c>
      <c r="S248" s="7">
        <f t="shared" ca="1" si="5"/>
        <v>-0.67299454044477935</v>
      </c>
    </row>
    <row r="249" spans="18:19" x14ac:dyDescent="0.35">
      <c r="R249" s="3">
        <v>247</v>
      </c>
      <c r="S249" s="7">
        <f t="shared" ca="1" si="5"/>
        <v>-2.4642957170770092</v>
      </c>
    </row>
    <row r="250" spans="18:19" x14ac:dyDescent="0.35">
      <c r="R250" s="3">
        <v>248</v>
      </c>
      <c r="S250" s="7">
        <f t="shared" ca="1" si="5"/>
        <v>1.8187012178441475</v>
      </c>
    </row>
    <row r="251" spans="18:19" x14ac:dyDescent="0.35">
      <c r="R251" s="3">
        <v>249</v>
      </c>
      <c r="S251" s="7">
        <f t="shared" ca="1" si="5"/>
        <v>0.5328591421645813</v>
      </c>
    </row>
    <row r="252" spans="18:19" x14ac:dyDescent="0.35">
      <c r="R252" s="3">
        <v>250</v>
      </c>
      <c r="S252" s="7">
        <f t="shared" ca="1" si="5"/>
        <v>-1.6153770605010003</v>
      </c>
    </row>
    <row r="253" spans="18:19" x14ac:dyDescent="0.35">
      <c r="R253" s="3">
        <v>251</v>
      </c>
      <c r="S253" s="7">
        <f t="shared" ca="1" si="5"/>
        <v>1.4364941075820856</v>
      </c>
    </row>
    <row r="254" spans="18:19" x14ac:dyDescent="0.35">
      <c r="R254" s="3">
        <v>252</v>
      </c>
      <c r="S254" s="7">
        <f t="shared" ca="1" si="5"/>
        <v>-1.562895999723076</v>
      </c>
    </row>
    <row r="255" spans="18:19" x14ac:dyDescent="0.35">
      <c r="R255" s="3">
        <v>253</v>
      </c>
      <c r="S255" s="7">
        <f t="shared" ca="1" si="5"/>
        <v>0.46126033821936818</v>
      </c>
    </row>
    <row r="256" spans="18:19" x14ac:dyDescent="0.35">
      <c r="R256" s="3">
        <v>254</v>
      </c>
      <c r="S256" s="7">
        <f t="shared" ca="1" si="5"/>
        <v>1.9402590212243789</v>
      </c>
    </row>
    <row r="257" spans="18:19" x14ac:dyDescent="0.35">
      <c r="R257" s="3">
        <v>255</v>
      </c>
      <c r="S257" s="7">
        <f t="shared" ca="1" si="5"/>
        <v>-2.140178691287919</v>
      </c>
    </row>
    <row r="258" spans="18:19" x14ac:dyDescent="0.35">
      <c r="R258" s="3">
        <v>256</v>
      </c>
      <c r="S258" s="7">
        <f t="shared" ca="1" si="5"/>
        <v>-0.77682482275717646</v>
      </c>
    </row>
    <row r="259" spans="18:19" x14ac:dyDescent="0.35">
      <c r="R259" s="3">
        <v>257</v>
      </c>
      <c r="S259" s="7">
        <f t="shared" ca="1" si="5"/>
        <v>-0.50787213022608224</v>
      </c>
    </row>
    <row r="260" spans="18:19" x14ac:dyDescent="0.35">
      <c r="R260" s="3">
        <v>258</v>
      </c>
      <c r="S260" s="7">
        <f t="shared" ref="S260:S323" ca="1" si="6">_xlfn.T.INV(RAND(),C$3)</f>
        <v>0.18849305388359916</v>
      </c>
    </row>
    <row r="261" spans="18:19" x14ac:dyDescent="0.35">
      <c r="R261" s="3">
        <v>259</v>
      </c>
      <c r="S261" s="7">
        <f t="shared" ca="1" si="6"/>
        <v>1.0479309944094679</v>
      </c>
    </row>
    <row r="262" spans="18:19" x14ac:dyDescent="0.35">
      <c r="R262" s="3">
        <v>260</v>
      </c>
      <c r="S262" s="7">
        <f t="shared" ca="1" si="6"/>
        <v>0.36722763542773862</v>
      </c>
    </row>
    <row r="263" spans="18:19" x14ac:dyDescent="0.35">
      <c r="R263" s="3">
        <v>261</v>
      </c>
      <c r="S263" s="7">
        <f t="shared" ca="1" si="6"/>
        <v>2.4386515945278919</v>
      </c>
    </row>
    <row r="264" spans="18:19" x14ac:dyDescent="0.35">
      <c r="R264" s="3">
        <v>262</v>
      </c>
      <c r="S264" s="7">
        <f t="shared" ca="1" si="6"/>
        <v>-0.36767543764048821</v>
      </c>
    </row>
    <row r="265" spans="18:19" x14ac:dyDescent="0.35">
      <c r="R265" s="3">
        <v>263</v>
      </c>
      <c r="S265" s="7">
        <f t="shared" ca="1" si="6"/>
        <v>-0.15315101134800446</v>
      </c>
    </row>
    <row r="266" spans="18:19" x14ac:dyDescent="0.35">
      <c r="R266" s="3">
        <v>264</v>
      </c>
      <c r="S266" s="7">
        <f t="shared" ca="1" si="6"/>
        <v>-1.1253723241259039</v>
      </c>
    </row>
    <row r="267" spans="18:19" x14ac:dyDescent="0.35">
      <c r="R267" s="3">
        <v>265</v>
      </c>
      <c r="S267" s="7">
        <f t="shared" ca="1" si="6"/>
        <v>-0.44488535803162699</v>
      </c>
    </row>
    <row r="268" spans="18:19" x14ac:dyDescent="0.35">
      <c r="R268" s="3">
        <v>266</v>
      </c>
      <c r="S268" s="7">
        <f t="shared" ca="1" si="6"/>
        <v>0.62982051191317101</v>
      </c>
    </row>
    <row r="269" spans="18:19" x14ac:dyDescent="0.35">
      <c r="R269" s="3">
        <v>267</v>
      </c>
      <c r="S269" s="7">
        <f t="shared" ca="1" si="6"/>
        <v>0.21016180154703679</v>
      </c>
    </row>
    <row r="270" spans="18:19" x14ac:dyDescent="0.35">
      <c r="R270" s="3">
        <v>268</v>
      </c>
      <c r="S270" s="7">
        <f t="shared" ca="1" si="6"/>
        <v>1.3555863915009443</v>
      </c>
    </row>
    <row r="271" spans="18:19" x14ac:dyDescent="0.35">
      <c r="R271" s="3">
        <v>269</v>
      </c>
      <c r="S271" s="7">
        <f t="shared" ca="1" si="6"/>
        <v>-1.2052281415759873</v>
      </c>
    </row>
    <row r="272" spans="18:19" x14ac:dyDescent="0.35">
      <c r="R272" s="3">
        <v>270</v>
      </c>
      <c r="S272" s="7">
        <f t="shared" ca="1" si="6"/>
        <v>0.44705190830059027</v>
      </c>
    </row>
    <row r="273" spans="18:19" x14ac:dyDescent="0.35">
      <c r="R273" s="3">
        <v>271</v>
      </c>
      <c r="S273" s="7">
        <f t="shared" ca="1" si="6"/>
        <v>1.0462065961260312</v>
      </c>
    </row>
    <row r="274" spans="18:19" x14ac:dyDescent="0.35">
      <c r="R274" s="3">
        <v>272</v>
      </c>
      <c r="S274" s="7">
        <f t="shared" ca="1" si="6"/>
        <v>0.1762369264664114</v>
      </c>
    </row>
    <row r="275" spans="18:19" x14ac:dyDescent="0.35">
      <c r="R275" s="3">
        <v>273</v>
      </c>
      <c r="S275" s="7">
        <f t="shared" ca="1" si="6"/>
        <v>-1.829055712936104</v>
      </c>
    </row>
    <row r="276" spans="18:19" x14ac:dyDescent="0.35">
      <c r="R276" s="3">
        <v>274</v>
      </c>
      <c r="S276" s="7">
        <f t="shared" ca="1" si="6"/>
        <v>1.0589280380961654</v>
      </c>
    </row>
    <row r="277" spans="18:19" x14ac:dyDescent="0.35">
      <c r="R277" s="3">
        <v>275</v>
      </c>
      <c r="S277" s="7">
        <f t="shared" ca="1" si="6"/>
        <v>-1.2169303625257271</v>
      </c>
    </row>
    <row r="278" spans="18:19" x14ac:dyDescent="0.35">
      <c r="R278" s="3">
        <v>276</v>
      </c>
      <c r="S278" s="7">
        <f t="shared" ca="1" si="6"/>
        <v>-1.8272195066476018</v>
      </c>
    </row>
    <row r="279" spans="18:19" x14ac:dyDescent="0.35">
      <c r="R279" s="3">
        <v>277</v>
      </c>
      <c r="S279" s="7">
        <f t="shared" ca="1" si="6"/>
        <v>-0.82519573931965307</v>
      </c>
    </row>
    <row r="280" spans="18:19" x14ac:dyDescent="0.35">
      <c r="R280" s="3">
        <v>278</v>
      </c>
      <c r="S280" s="7">
        <f t="shared" ca="1" si="6"/>
        <v>7.5149162213377002E-2</v>
      </c>
    </row>
    <row r="281" spans="18:19" x14ac:dyDescent="0.35">
      <c r="R281" s="3">
        <v>279</v>
      </c>
      <c r="S281" s="7">
        <f t="shared" ca="1" si="6"/>
        <v>-0.20860829613941512</v>
      </c>
    </row>
    <row r="282" spans="18:19" x14ac:dyDescent="0.35">
      <c r="R282" s="3">
        <v>280</v>
      </c>
      <c r="S282" s="7">
        <f t="shared" ca="1" si="6"/>
        <v>2.3715894684191539</v>
      </c>
    </row>
    <row r="283" spans="18:19" x14ac:dyDescent="0.35">
      <c r="R283" s="3">
        <v>281</v>
      </c>
      <c r="S283" s="7">
        <f t="shared" ca="1" si="6"/>
        <v>0.88063897595378127</v>
      </c>
    </row>
    <row r="284" spans="18:19" x14ac:dyDescent="0.35">
      <c r="R284" s="3">
        <v>282</v>
      </c>
      <c r="S284" s="7">
        <f t="shared" ca="1" si="6"/>
        <v>0.84988827230225339</v>
      </c>
    </row>
    <row r="285" spans="18:19" x14ac:dyDescent="0.35">
      <c r="R285" s="3">
        <v>283</v>
      </c>
      <c r="S285" s="7">
        <f t="shared" ca="1" si="6"/>
        <v>-0.14765204055677836</v>
      </c>
    </row>
    <row r="286" spans="18:19" x14ac:dyDescent="0.35">
      <c r="R286" s="3">
        <v>284</v>
      </c>
      <c r="S286" s="7">
        <f t="shared" ca="1" si="6"/>
        <v>-4.7430756212165165E-2</v>
      </c>
    </row>
    <row r="287" spans="18:19" x14ac:dyDescent="0.35">
      <c r="R287" s="3">
        <v>285</v>
      </c>
      <c r="S287" s="7">
        <f t="shared" ca="1" si="6"/>
        <v>-1.1587530766727732</v>
      </c>
    </row>
    <row r="288" spans="18:19" x14ac:dyDescent="0.35">
      <c r="R288" s="3">
        <v>286</v>
      </c>
      <c r="S288" s="7">
        <f t="shared" ca="1" si="6"/>
        <v>-1.119650534195795</v>
      </c>
    </row>
    <row r="289" spans="18:19" x14ac:dyDescent="0.35">
      <c r="R289" s="3">
        <v>287</v>
      </c>
      <c r="S289" s="7">
        <f t="shared" ca="1" si="6"/>
        <v>-1.1150018095761076</v>
      </c>
    </row>
    <row r="290" spans="18:19" x14ac:dyDescent="0.35">
      <c r="R290" s="3">
        <v>288</v>
      </c>
      <c r="S290" s="7">
        <f t="shared" ca="1" si="6"/>
        <v>0.14554286264869309</v>
      </c>
    </row>
    <row r="291" spans="18:19" x14ac:dyDescent="0.35">
      <c r="R291" s="3">
        <v>289</v>
      </c>
      <c r="S291" s="7">
        <f t="shared" ca="1" si="6"/>
        <v>-4.5117524933453737E-2</v>
      </c>
    </row>
    <row r="292" spans="18:19" x14ac:dyDescent="0.35">
      <c r="R292" s="3">
        <v>290</v>
      </c>
      <c r="S292" s="7">
        <f t="shared" ca="1" si="6"/>
        <v>-0.47307067082306126</v>
      </c>
    </row>
    <row r="293" spans="18:19" x14ac:dyDescent="0.35">
      <c r="R293" s="3">
        <v>291</v>
      </c>
      <c r="S293" s="7">
        <f t="shared" ca="1" si="6"/>
        <v>-0.20279453147337814</v>
      </c>
    </row>
    <row r="294" spans="18:19" x14ac:dyDescent="0.35">
      <c r="R294" s="3">
        <v>292</v>
      </c>
      <c r="S294" s="7">
        <f t="shared" ca="1" si="6"/>
        <v>0.18024502168862339</v>
      </c>
    </row>
    <row r="295" spans="18:19" x14ac:dyDescent="0.35">
      <c r="R295" s="3">
        <v>293</v>
      </c>
      <c r="S295" s="7">
        <f t="shared" ca="1" si="6"/>
        <v>-2.6623772592062744</v>
      </c>
    </row>
    <row r="296" spans="18:19" x14ac:dyDescent="0.35">
      <c r="R296" s="3">
        <v>294</v>
      </c>
      <c r="S296" s="7">
        <f t="shared" ca="1" si="6"/>
        <v>0.44486180975679201</v>
      </c>
    </row>
    <row r="297" spans="18:19" x14ac:dyDescent="0.35">
      <c r="R297" s="3">
        <v>295</v>
      </c>
      <c r="S297" s="7">
        <f t="shared" ca="1" si="6"/>
        <v>0.34697150938807836</v>
      </c>
    </row>
    <row r="298" spans="18:19" x14ac:dyDescent="0.35">
      <c r="R298" s="3">
        <v>296</v>
      </c>
      <c r="S298" s="7">
        <f t="shared" ca="1" si="6"/>
        <v>0.47211516585841679</v>
      </c>
    </row>
    <row r="299" spans="18:19" x14ac:dyDescent="0.35">
      <c r="R299" s="3">
        <v>297</v>
      </c>
      <c r="S299" s="7">
        <f t="shared" ca="1" si="6"/>
        <v>2.3001016247765458</v>
      </c>
    </row>
    <row r="300" spans="18:19" x14ac:dyDescent="0.35">
      <c r="R300" s="3">
        <v>298</v>
      </c>
      <c r="S300" s="7">
        <f t="shared" ca="1" si="6"/>
        <v>0.73463954412683763</v>
      </c>
    </row>
    <row r="301" spans="18:19" x14ac:dyDescent="0.35">
      <c r="R301" s="3">
        <v>299</v>
      </c>
      <c r="S301" s="7">
        <f t="shared" ca="1" si="6"/>
        <v>2.0636908278248067</v>
      </c>
    </row>
    <row r="302" spans="18:19" x14ac:dyDescent="0.35">
      <c r="R302" s="3">
        <v>300</v>
      </c>
      <c r="S302" s="7">
        <f t="shared" ca="1" si="6"/>
        <v>8.9297650460276497E-3</v>
      </c>
    </row>
    <row r="303" spans="18:19" x14ac:dyDescent="0.35">
      <c r="R303" s="3">
        <v>301</v>
      </c>
      <c r="S303" s="7">
        <f t="shared" ca="1" si="6"/>
        <v>-0.2241454185606149</v>
      </c>
    </row>
    <row r="304" spans="18:19" x14ac:dyDescent="0.35">
      <c r="R304" s="3">
        <v>302</v>
      </c>
      <c r="S304" s="7">
        <f t="shared" ca="1" si="6"/>
        <v>-1.0271131353454857</v>
      </c>
    </row>
    <row r="305" spans="18:19" x14ac:dyDescent="0.35">
      <c r="R305" s="3">
        <v>303</v>
      </c>
      <c r="S305" s="7">
        <f t="shared" ca="1" si="6"/>
        <v>0.56710395139970804</v>
      </c>
    </row>
    <row r="306" spans="18:19" x14ac:dyDescent="0.35">
      <c r="R306" s="3">
        <v>304</v>
      </c>
      <c r="S306" s="7">
        <f t="shared" ca="1" si="6"/>
        <v>5.0597249469070731E-2</v>
      </c>
    </row>
    <row r="307" spans="18:19" x14ac:dyDescent="0.35">
      <c r="R307" s="3">
        <v>305</v>
      </c>
      <c r="S307" s="7">
        <f t="shared" ca="1" si="6"/>
        <v>-3.2499866455380189</v>
      </c>
    </row>
    <row r="308" spans="18:19" x14ac:dyDescent="0.35">
      <c r="R308" s="3">
        <v>306</v>
      </c>
      <c r="S308" s="7">
        <f t="shared" ca="1" si="6"/>
        <v>-0.89381083535204608</v>
      </c>
    </row>
    <row r="309" spans="18:19" x14ac:dyDescent="0.35">
      <c r="R309" s="3">
        <v>307</v>
      </c>
      <c r="S309" s="7">
        <f t="shared" ca="1" si="6"/>
        <v>-0.51256097406332179</v>
      </c>
    </row>
    <row r="310" spans="18:19" x14ac:dyDescent="0.35">
      <c r="R310" s="3">
        <v>308</v>
      </c>
      <c r="S310" s="7">
        <f t="shared" ca="1" si="6"/>
        <v>-0.48152585599359177</v>
      </c>
    </row>
    <row r="311" spans="18:19" x14ac:dyDescent="0.35">
      <c r="R311" s="3">
        <v>309</v>
      </c>
      <c r="S311" s="7">
        <f t="shared" ca="1" si="6"/>
        <v>0.3131242428645491</v>
      </c>
    </row>
    <row r="312" spans="18:19" x14ac:dyDescent="0.35">
      <c r="R312" s="3">
        <v>310</v>
      </c>
      <c r="S312" s="7">
        <f t="shared" ca="1" si="6"/>
        <v>1.4503926539636602</v>
      </c>
    </row>
    <row r="313" spans="18:19" x14ac:dyDescent="0.35">
      <c r="R313" s="3">
        <v>311</v>
      </c>
      <c r="S313" s="7">
        <f t="shared" ca="1" si="6"/>
        <v>-1.1111905401402193</v>
      </c>
    </row>
    <row r="314" spans="18:19" x14ac:dyDescent="0.35">
      <c r="R314" s="3">
        <v>312</v>
      </c>
      <c r="S314" s="7">
        <f t="shared" ca="1" si="6"/>
        <v>-1.0781925831317098</v>
      </c>
    </row>
    <row r="315" spans="18:19" x14ac:dyDescent="0.35">
      <c r="R315" s="3">
        <v>313</v>
      </c>
      <c r="S315" s="7">
        <f t="shared" ca="1" si="6"/>
        <v>0.36903432988850826</v>
      </c>
    </row>
    <row r="316" spans="18:19" x14ac:dyDescent="0.35">
      <c r="R316" s="3">
        <v>314</v>
      </c>
      <c r="S316" s="7">
        <f t="shared" ca="1" si="6"/>
        <v>-0.80943329299710809</v>
      </c>
    </row>
    <row r="317" spans="18:19" x14ac:dyDescent="0.35">
      <c r="R317" s="3">
        <v>315</v>
      </c>
      <c r="S317" s="7">
        <f t="shared" ca="1" si="6"/>
        <v>-0.64499026168300078</v>
      </c>
    </row>
    <row r="318" spans="18:19" x14ac:dyDescent="0.35">
      <c r="R318" s="3">
        <v>316</v>
      </c>
      <c r="S318" s="7">
        <f t="shared" ca="1" si="6"/>
        <v>-0.29297520506185598</v>
      </c>
    </row>
    <row r="319" spans="18:19" x14ac:dyDescent="0.35">
      <c r="R319" s="3">
        <v>317</v>
      </c>
      <c r="S319" s="7">
        <f t="shared" ca="1" si="6"/>
        <v>0.85949595432764181</v>
      </c>
    </row>
    <row r="320" spans="18:19" x14ac:dyDescent="0.35">
      <c r="R320" s="3">
        <v>318</v>
      </c>
      <c r="S320" s="7">
        <f t="shared" ca="1" si="6"/>
        <v>1.8555491916769209</v>
      </c>
    </row>
    <row r="321" spans="18:19" x14ac:dyDescent="0.35">
      <c r="R321" s="3">
        <v>319</v>
      </c>
      <c r="S321" s="7">
        <f t="shared" ca="1" si="6"/>
        <v>0.20604874818325564</v>
      </c>
    </row>
    <row r="322" spans="18:19" x14ac:dyDescent="0.35">
      <c r="R322" s="3">
        <v>320</v>
      </c>
      <c r="S322" s="7">
        <f t="shared" ca="1" si="6"/>
        <v>0.56074925108397589</v>
      </c>
    </row>
    <row r="323" spans="18:19" x14ac:dyDescent="0.35">
      <c r="R323" s="3">
        <v>321</v>
      </c>
      <c r="S323" s="7">
        <f t="shared" ca="1" si="6"/>
        <v>-0.79099716104824802</v>
      </c>
    </row>
    <row r="324" spans="18:19" x14ac:dyDescent="0.35">
      <c r="R324" s="3">
        <v>322</v>
      </c>
      <c r="S324" s="7">
        <f t="shared" ref="S324:S387" ca="1" si="7">_xlfn.T.INV(RAND(),C$3)</f>
        <v>-0.27067285425822113</v>
      </c>
    </row>
    <row r="325" spans="18:19" x14ac:dyDescent="0.35">
      <c r="R325" s="3">
        <v>323</v>
      </c>
      <c r="S325" s="7">
        <f t="shared" ca="1" si="7"/>
        <v>-0.72006225175962035</v>
      </c>
    </row>
    <row r="326" spans="18:19" x14ac:dyDescent="0.35">
      <c r="R326" s="3">
        <v>324</v>
      </c>
      <c r="S326" s="7">
        <f t="shared" ca="1" si="7"/>
        <v>0.52410641701316618</v>
      </c>
    </row>
    <row r="327" spans="18:19" x14ac:dyDescent="0.35">
      <c r="R327" s="3">
        <v>325</v>
      </c>
      <c r="S327" s="7">
        <f t="shared" ca="1" si="7"/>
        <v>-2.1064704213785053</v>
      </c>
    </row>
    <row r="328" spans="18:19" x14ac:dyDescent="0.35">
      <c r="R328" s="3">
        <v>326</v>
      </c>
      <c r="S328" s="7">
        <f t="shared" ca="1" si="7"/>
        <v>-0.66404396541985777</v>
      </c>
    </row>
    <row r="329" spans="18:19" x14ac:dyDescent="0.35">
      <c r="R329" s="3">
        <v>327</v>
      </c>
      <c r="S329" s="7">
        <f t="shared" ca="1" si="7"/>
        <v>4.5318519360103462</v>
      </c>
    </row>
    <row r="330" spans="18:19" x14ac:dyDescent="0.35">
      <c r="R330" s="3">
        <v>328</v>
      </c>
      <c r="S330" s="7">
        <f t="shared" ca="1" si="7"/>
        <v>1.7176939403826876</v>
      </c>
    </row>
    <row r="331" spans="18:19" x14ac:dyDescent="0.35">
      <c r="R331" s="3">
        <v>329</v>
      </c>
      <c r="S331" s="7">
        <f t="shared" ca="1" si="7"/>
        <v>0.24668243555695232</v>
      </c>
    </row>
    <row r="332" spans="18:19" x14ac:dyDescent="0.35">
      <c r="R332" s="3">
        <v>330</v>
      </c>
      <c r="S332" s="7">
        <f t="shared" ca="1" si="7"/>
        <v>0.83446568976437818</v>
      </c>
    </row>
    <row r="333" spans="18:19" x14ac:dyDescent="0.35">
      <c r="R333" s="3">
        <v>331</v>
      </c>
      <c r="S333" s="7">
        <f t="shared" ca="1" si="7"/>
        <v>-0.7780251551553603</v>
      </c>
    </row>
    <row r="334" spans="18:19" x14ac:dyDescent="0.35">
      <c r="R334" s="3">
        <v>332</v>
      </c>
      <c r="S334" s="7">
        <f t="shared" ca="1" si="7"/>
        <v>0.20082708187147594</v>
      </c>
    </row>
    <row r="335" spans="18:19" x14ac:dyDescent="0.35">
      <c r="R335" s="3">
        <v>333</v>
      </c>
      <c r="S335" s="7">
        <f t="shared" ca="1" si="7"/>
        <v>-3.6293662931879038</v>
      </c>
    </row>
    <row r="336" spans="18:19" x14ac:dyDescent="0.35">
      <c r="R336" s="3">
        <v>334</v>
      </c>
      <c r="S336" s="7">
        <f t="shared" ca="1" si="7"/>
        <v>-0.79065531892799723</v>
      </c>
    </row>
    <row r="337" spans="18:19" x14ac:dyDescent="0.35">
      <c r="R337" s="3">
        <v>335</v>
      </c>
      <c r="S337" s="7">
        <f t="shared" ca="1" si="7"/>
        <v>-1.727586523339433E-2</v>
      </c>
    </row>
    <row r="338" spans="18:19" x14ac:dyDescent="0.35">
      <c r="R338" s="3">
        <v>336</v>
      </c>
      <c r="S338" s="7">
        <f t="shared" ca="1" si="7"/>
        <v>0.49498297858084639</v>
      </c>
    </row>
    <row r="339" spans="18:19" x14ac:dyDescent="0.35">
      <c r="R339" s="3">
        <v>337</v>
      </c>
      <c r="S339" s="7">
        <f t="shared" ca="1" si="7"/>
        <v>0.15401379193722989</v>
      </c>
    </row>
    <row r="340" spans="18:19" x14ac:dyDescent="0.35">
      <c r="R340" s="3">
        <v>338</v>
      </c>
      <c r="S340" s="7">
        <f t="shared" ca="1" si="7"/>
        <v>-0.63206722392487213</v>
      </c>
    </row>
    <row r="341" spans="18:19" x14ac:dyDescent="0.35">
      <c r="R341" s="3">
        <v>339</v>
      </c>
      <c r="S341" s="7">
        <f t="shared" ca="1" si="7"/>
        <v>4.0310471567168964</v>
      </c>
    </row>
    <row r="342" spans="18:19" x14ac:dyDescent="0.35">
      <c r="R342" s="3">
        <v>340</v>
      </c>
      <c r="S342" s="7">
        <f t="shared" ca="1" si="7"/>
        <v>-0.14411592013013905</v>
      </c>
    </row>
    <row r="343" spans="18:19" x14ac:dyDescent="0.35">
      <c r="R343" s="3">
        <v>341</v>
      </c>
      <c r="S343" s="7">
        <f t="shared" ca="1" si="7"/>
        <v>-1.3792587009578392</v>
      </c>
    </row>
    <row r="344" spans="18:19" x14ac:dyDescent="0.35">
      <c r="R344" s="3">
        <v>342</v>
      </c>
      <c r="S344" s="7">
        <f t="shared" ca="1" si="7"/>
        <v>0.12619432614460854</v>
      </c>
    </row>
    <row r="345" spans="18:19" x14ac:dyDescent="0.35">
      <c r="R345" s="3">
        <v>343</v>
      </c>
      <c r="S345" s="7">
        <f t="shared" ca="1" si="7"/>
        <v>0.68512720684789652</v>
      </c>
    </row>
    <row r="346" spans="18:19" x14ac:dyDescent="0.35">
      <c r="R346" s="3">
        <v>344</v>
      </c>
      <c r="S346" s="7">
        <f t="shared" ca="1" si="7"/>
        <v>0.72303331168140883</v>
      </c>
    </row>
    <row r="347" spans="18:19" x14ac:dyDescent="0.35">
      <c r="R347" s="3">
        <v>345</v>
      </c>
      <c r="S347" s="7">
        <f t="shared" ca="1" si="7"/>
        <v>1.1210111447974862E-2</v>
      </c>
    </row>
    <row r="348" spans="18:19" x14ac:dyDescent="0.35">
      <c r="R348" s="3">
        <v>346</v>
      </c>
      <c r="S348" s="7">
        <f t="shared" ca="1" si="7"/>
        <v>-2.4617970465976424E-2</v>
      </c>
    </row>
    <row r="349" spans="18:19" x14ac:dyDescent="0.35">
      <c r="R349" s="3">
        <v>347</v>
      </c>
      <c r="S349" s="7">
        <f t="shared" ca="1" si="7"/>
        <v>3.3696266057697253</v>
      </c>
    </row>
    <row r="350" spans="18:19" x14ac:dyDescent="0.35">
      <c r="R350" s="3">
        <v>348</v>
      </c>
      <c r="S350" s="7">
        <f t="shared" ca="1" si="7"/>
        <v>-0.52175558807129796</v>
      </c>
    </row>
    <row r="351" spans="18:19" x14ac:dyDescent="0.35">
      <c r="R351" s="3">
        <v>349</v>
      </c>
      <c r="S351" s="7">
        <f t="shared" ca="1" si="7"/>
        <v>-1.0370718429938883</v>
      </c>
    </row>
    <row r="352" spans="18:19" x14ac:dyDescent="0.35">
      <c r="R352" s="3">
        <v>350</v>
      </c>
      <c r="S352" s="7">
        <f t="shared" ca="1" si="7"/>
        <v>-1.9929754117224938</v>
      </c>
    </row>
    <row r="353" spans="18:19" x14ac:dyDescent="0.35">
      <c r="R353" s="3">
        <v>351</v>
      </c>
      <c r="S353" s="7">
        <f t="shared" ca="1" si="7"/>
        <v>-0.45996036021162057</v>
      </c>
    </row>
    <row r="354" spans="18:19" x14ac:dyDescent="0.35">
      <c r="R354" s="3">
        <v>352</v>
      </c>
      <c r="S354" s="7">
        <f t="shared" ca="1" si="7"/>
        <v>-0.42523014604618414</v>
      </c>
    </row>
    <row r="355" spans="18:19" x14ac:dyDescent="0.35">
      <c r="R355" s="3">
        <v>353</v>
      </c>
      <c r="S355" s="7">
        <f t="shared" ca="1" si="7"/>
        <v>-2.1004110976314272</v>
      </c>
    </row>
    <row r="356" spans="18:19" x14ac:dyDescent="0.35">
      <c r="R356" s="3">
        <v>354</v>
      </c>
      <c r="S356" s="7">
        <f t="shared" ca="1" si="7"/>
        <v>0.54517911542801134</v>
      </c>
    </row>
    <row r="357" spans="18:19" x14ac:dyDescent="0.35">
      <c r="R357" s="3">
        <v>355</v>
      </c>
      <c r="S357" s="7">
        <f t="shared" ca="1" si="7"/>
        <v>-2.1787360506068598</v>
      </c>
    </row>
    <row r="358" spans="18:19" x14ac:dyDescent="0.35">
      <c r="R358" s="3">
        <v>356</v>
      </c>
      <c r="S358" s="7">
        <f t="shared" ca="1" si="7"/>
        <v>0.10246061848955304</v>
      </c>
    </row>
    <row r="359" spans="18:19" x14ac:dyDescent="0.35">
      <c r="R359" s="3">
        <v>357</v>
      </c>
      <c r="S359" s="7">
        <f t="shared" ca="1" si="7"/>
        <v>4.7578800651025398E-2</v>
      </c>
    </row>
    <row r="360" spans="18:19" x14ac:dyDescent="0.35">
      <c r="R360" s="3">
        <v>358</v>
      </c>
      <c r="S360" s="7">
        <f t="shared" ca="1" si="7"/>
        <v>-1.7596066974401314</v>
      </c>
    </row>
    <row r="361" spans="18:19" x14ac:dyDescent="0.35">
      <c r="R361" s="3">
        <v>359</v>
      </c>
      <c r="S361" s="7">
        <f t="shared" ca="1" si="7"/>
        <v>0.84502191663911719</v>
      </c>
    </row>
    <row r="362" spans="18:19" x14ac:dyDescent="0.35">
      <c r="R362" s="3">
        <v>360</v>
      </c>
      <c r="S362" s="7">
        <f t="shared" ca="1" si="7"/>
        <v>0.62325984427739156</v>
      </c>
    </row>
    <row r="363" spans="18:19" x14ac:dyDescent="0.35">
      <c r="R363" s="3">
        <v>361</v>
      </c>
      <c r="S363" s="7">
        <f t="shared" ca="1" si="7"/>
        <v>-0.20126230802286504</v>
      </c>
    </row>
    <row r="364" spans="18:19" x14ac:dyDescent="0.35">
      <c r="R364" s="3">
        <v>362</v>
      </c>
      <c r="S364" s="7">
        <f t="shared" ca="1" si="7"/>
        <v>-1.7987181270574542</v>
      </c>
    </row>
    <row r="365" spans="18:19" x14ac:dyDescent="0.35">
      <c r="R365" s="3">
        <v>363</v>
      </c>
      <c r="S365" s="7">
        <f t="shared" ca="1" si="7"/>
        <v>2.1710474422606181</v>
      </c>
    </row>
    <row r="366" spans="18:19" x14ac:dyDescent="0.35">
      <c r="R366" s="3">
        <v>364</v>
      </c>
      <c r="S366" s="7">
        <f t="shared" ca="1" si="7"/>
        <v>-0.91487111879489691</v>
      </c>
    </row>
    <row r="367" spans="18:19" x14ac:dyDescent="0.35">
      <c r="R367" s="3">
        <v>365</v>
      </c>
      <c r="S367" s="7">
        <f t="shared" ca="1" si="7"/>
        <v>-1.8969636190101684</v>
      </c>
    </row>
    <row r="368" spans="18:19" x14ac:dyDescent="0.35">
      <c r="R368" s="3">
        <v>366</v>
      </c>
      <c r="S368" s="7">
        <f t="shared" ca="1" si="7"/>
        <v>-0.89026244757428785</v>
      </c>
    </row>
    <row r="369" spans="18:19" x14ac:dyDescent="0.35">
      <c r="R369" s="3">
        <v>367</v>
      </c>
      <c r="S369" s="7">
        <f t="shared" ca="1" si="7"/>
        <v>-2.6877775071013303</v>
      </c>
    </row>
    <row r="370" spans="18:19" x14ac:dyDescent="0.35">
      <c r="R370" s="3">
        <v>368</v>
      </c>
      <c r="S370" s="7">
        <f t="shared" ca="1" si="7"/>
        <v>-0.3065620797779402</v>
      </c>
    </row>
    <row r="371" spans="18:19" x14ac:dyDescent="0.35">
      <c r="R371" s="3">
        <v>369</v>
      </c>
      <c r="S371" s="7">
        <f t="shared" ca="1" si="7"/>
        <v>-0.32729531337234125</v>
      </c>
    </row>
    <row r="372" spans="18:19" x14ac:dyDescent="0.35">
      <c r="R372" s="3">
        <v>370</v>
      </c>
      <c r="S372" s="7">
        <f t="shared" ca="1" si="7"/>
        <v>-0.14918591627173011</v>
      </c>
    </row>
    <row r="373" spans="18:19" x14ac:dyDescent="0.35">
      <c r="R373" s="3">
        <v>371</v>
      </c>
      <c r="S373" s="7">
        <f t="shared" ca="1" si="7"/>
        <v>-0.52941599745657786</v>
      </c>
    </row>
    <row r="374" spans="18:19" x14ac:dyDescent="0.35">
      <c r="R374" s="3">
        <v>372</v>
      </c>
      <c r="S374" s="7">
        <f t="shared" ca="1" si="7"/>
        <v>0.76054744909743555</v>
      </c>
    </row>
    <row r="375" spans="18:19" x14ac:dyDescent="0.35">
      <c r="R375" s="3">
        <v>373</v>
      </c>
      <c r="S375" s="7">
        <f t="shared" ca="1" si="7"/>
        <v>0.40530414012796473</v>
      </c>
    </row>
    <row r="376" spans="18:19" x14ac:dyDescent="0.35">
      <c r="R376" s="3">
        <v>374</v>
      </c>
      <c r="S376" s="7">
        <f t="shared" ca="1" si="7"/>
        <v>-1.2147234331269525</v>
      </c>
    </row>
    <row r="377" spans="18:19" x14ac:dyDescent="0.35">
      <c r="R377" s="3">
        <v>375</v>
      </c>
      <c r="S377" s="7">
        <f t="shared" ca="1" si="7"/>
        <v>-0.53096599879032647</v>
      </c>
    </row>
    <row r="378" spans="18:19" x14ac:dyDescent="0.35">
      <c r="R378" s="3">
        <v>376</v>
      </c>
      <c r="S378" s="7">
        <f t="shared" ca="1" si="7"/>
        <v>-0.34739334339911587</v>
      </c>
    </row>
    <row r="379" spans="18:19" x14ac:dyDescent="0.35">
      <c r="R379" s="3">
        <v>377</v>
      </c>
      <c r="S379" s="7">
        <f t="shared" ca="1" si="7"/>
        <v>0.60163452361251846</v>
      </c>
    </row>
    <row r="380" spans="18:19" x14ac:dyDescent="0.35">
      <c r="R380" s="3">
        <v>378</v>
      </c>
      <c r="S380" s="7">
        <f t="shared" ca="1" si="7"/>
        <v>-0.12642718818607662</v>
      </c>
    </row>
    <row r="381" spans="18:19" x14ac:dyDescent="0.35">
      <c r="R381" s="3">
        <v>379</v>
      </c>
      <c r="S381" s="7">
        <f t="shared" ca="1" si="7"/>
        <v>-3.6533396175696425E-2</v>
      </c>
    </row>
    <row r="382" spans="18:19" x14ac:dyDescent="0.35">
      <c r="R382" s="3">
        <v>380</v>
      </c>
      <c r="S382" s="7">
        <f t="shared" ca="1" si="7"/>
        <v>-0.37117427007174442</v>
      </c>
    </row>
    <row r="383" spans="18:19" x14ac:dyDescent="0.35">
      <c r="R383" s="3">
        <v>381</v>
      </c>
      <c r="S383" s="7">
        <f t="shared" ca="1" si="7"/>
        <v>-0.32207908404253871</v>
      </c>
    </row>
    <row r="384" spans="18:19" x14ac:dyDescent="0.35">
      <c r="R384" s="3">
        <v>382</v>
      </c>
      <c r="S384" s="7">
        <f t="shared" ca="1" si="7"/>
        <v>2.6966390524686528</v>
      </c>
    </row>
    <row r="385" spans="18:19" x14ac:dyDescent="0.35">
      <c r="R385" s="3">
        <v>383</v>
      </c>
      <c r="S385" s="7">
        <f t="shared" ca="1" si="7"/>
        <v>0.45847739544892468</v>
      </c>
    </row>
    <row r="386" spans="18:19" x14ac:dyDescent="0.35">
      <c r="R386" s="3">
        <v>384</v>
      </c>
      <c r="S386" s="7">
        <f t="shared" ca="1" si="7"/>
        <v>0.42320528874512159</v>
      </c>
    </row>
    <row r="387" spans="18:19" x14ac:dyDescent="0.35">
      <c r="R387" s="3">
        <v>385</v>
      </c>
      <c r="S387" s="7">
        <f t="shared" ca="1" si="7"/>
        <v>-1.2106492897803884</v>
      </c>
    </row>
    <row r="388" spans="18:19" x14ac:dyDescent="0.35">
      <c r="R388" s="3">
        <v>386</v>
      </c>
      <c r="S388" s="7">
        <f t="shared" ref="S388:S451" ca="1" si="8">_xlfn.T.INV(RAND(),C$3)</f>
        <v>1.6991788447211815</v>
      </c>
    </row>
    <row r="389" spans="18:19" x14ac:dyDescent="0.35">
      <c r="R389" s="3">
        <v>387</v>
      </c>
      <c r="S389" s="7">
        <f t="shared" ca="1" si="8"/>
        <v>-1.8240611508953728</v>
      </c>
    </row>
    <row r="390" spans="18:19" x14ac:dyDescent="0.35">
      <c r="R390" s="3">
        <v>388</v>
      </c>
      <c r="S390" s="7">
        <f t="shared" ca="1" si="8"/>
        <v>-0.31302681774278157</v>
      </c>
    </row>
    <row r="391" spans="18:19" x14ac:dyDescent="0.35">
      <c r="R391" s="3">
        <v>389</v>
      </c>
      <c r="S391" s="7">
        <f t="shared" ca="1" si="8"/>
        <v>-0.63780714411812556</v>
      </c>
    </row>
    <row r="392" spans="18:19" x14ac:dyDescent="0.35">
      <c r="R392" s="3">
        <v>390</v>
      </c>
      <c r="S392" s="7">
        <f t="shared" ca="1" si="8"/>
        <v>-0.52886722907090755</v>
      </c>
    </row>
    <row r="393" spans="18:19" x14ac:dyDescent="0.35">
      <c r="R393" s="3">
        <v>391</v>
      </c>
      <c r="S393" s="7">
        <f t="shared" ca="1" si="8"/>
        <v>-2.6816951604438235</v>
      </c>
    </row>
    <row r="394" spans="18:19" x14ac:dyDescent="0.35">
      <c r="R394" s="3">
        <v>392</v>
      </c>
      <c r="S394" s="7">
        <f t="shared" ca="1" si="8"/>
        <v>0.62586071852283709</v>
      </c>
    </row>
    <row r="395" spans="18:19" x14ac:dyDescent="0.35">
      <c r="R395" s="3">
        <v>393</v>
      </c>
      <c r="S395" s="7">
        <f t="shared" ca="1" si="8"/>
        <v>2.0261249129578847</v>
      </c>
    </row>
    <row r="396" spans="18:19" x14ac:dyDescent="0.35">
      <c r="R396" s="3">
        <v>394</v>
      </c>
      <c r="S396" s="7">
        <f t="shared" ca="1" si="8"/>
        <v>-0.83122455618574431</v>
      </c>
    </row>
    <row r="397" spans="18:19" x14ac:dyDescent="0.35">
      <c r="R397" s="3">
        <v>395</v>
      </c>
      <c r="S397" s="7">
        <f t="shared" ca="1" si="8"/>
        <v>-1.8528569520322449</v>
      </c>
    </row>
    <row r="398" spans="18:19" x14ac:dyDescent="0.35">
      <c r="R398" s="3">
        <v>396</v>
      </c>
      <c r="S398" s="7">
        <f t="shared" ca="1" si="8"/>
        <v>0.17567429744287183</v>
      </c>
    </row>
    <row r="399" spans="18:19" x14ac:dyDescent="0.35">
      <c r="R399" s="3">
        <v>397</v>
      </c>
      <c r="S399" s="7">
        <f t="shared" ca="1" si="8"/>
        <v>-0.52318583684020381</v>
      </c>
    </row>
    <row r="400" spans="18:19" x14ac:dyDescent="0.35">
      <c r="R400" s="3">
        <v>398</v>
      </c>
      <c r="S400" s="7">
        <f t="shared" ca="1" si="8"/>
        <v>0.92094063365584056</v>
      </c>
    </row>
    <row r="401" spans="18:19" x14ac:dyDescent="0.35">
      <c r="R401" s="3">
        <v>399</v>
      </c>
      <c r="S401" s="7">
        <f t="shared" ca="1" si="8"/>
        <v>0.85825354154731703</v>
      </c>
    </row>
    <row r="402" spans="18:19" x14ac:dyDescent="0.35">
      <c r="R402" s="3">
        <v>400</v>
      </c>
      <c r="S402" s="7">
        <f t="shared" ca="1" si="8"/>
        <v>0.32701293784047886</v>
      </c>
    </row>
    <row r="403" spans="18:19" x14ac:dyDescent="0.35">
      <c r="R403" s="3">
        <v>401</v>
      </c>
      <c r="S403" s="7">
        <f t="shared" ca="1" si="8"/>
        <v>-0.45618330294851234</v>
      </c>
    </row>
    <row r="404" spans="18:19" x14ac:dyDescent="0.35">
      <c r="R404" s="3">
        <v>402</v>
      </c>
      <c r="S404" s="7">
        <f t="shared" ca="1" si="8"/>
        <v>2.0434804911599946</v>
      </c>
    </row>
    <row r="405" spans="18:19" x14ac:dyDescent="0.35">
      <c r="R405" s="3">
        <v>403</v>
      </c>
      <c r="S405" s="7">
        <f t="shared" ca="1" si="8"/>
        <v>0.53062668959024573</v>
      </c>
    </row>
    <row r="406" spans="18:19" x14ac:dyDescent="0.35">
      <c r="R406" s="3">
        <v>404</v>
      </c>
      <c r="S406" s="7">
        <f t="shared" ca="1" si="8"/>
        <v>1.4029312372265663</v>
      </c>
    </row>
    <row r="407" spans="18:19" x14ac:dyDescent="0.35">
      <c r="R407" s="3">
        <v>405</v>
      </c>
      <c r="S407" s="7">
        <f t="shared" ca="1" si="8"/>
        <v>-3.9199545865201051</v>
      </c>
    </row>
    <row r="408" spans="18:19" x14ac:dyDescent="0.35">
      <c r="R408" s="3">
        <v>406</v>
      </c>
      <c r="S408" s="7">
        <f t="shared" ca="1" si="8"/>
        <v>0.95979222990003732</v>
      </c>
    </row>
    <row r="409" spans="18:19" x14ac:dyDescent="0.35">
      <c r="R409" s="3">
        <v>407</v>
      </c>
      <c r="S409" s="7">
        <f t="shared" ca="1" si="8"/>
        <v>9.7072427804987815E-2</v>
      </c>
    </row>
    <row r="410" spans="18:19" x14ac:dyDescent="0.35">
      <c r="R410" s="3">
        <v>408</v>
      </c>
      <c r="S410" s="7">
        <f t="shared" ca="1" si="8"/>
        <v>0.21448305625739128</v>
      </c>
    </row>
    <row r="411" spans="18:19" x14ac:dyDescent="0.35">
      <c r="R411" s="3">
        <v>409</v>
      </c>
      <c r="S411" s="7">
        <f t="shared" ca="1" si="8"/>
        <v>4.8256485184730103E-3</v>
      </c>
    </row>
    <row r="412" spans="18:19" x14ac:dyDescent="0.35">
      <c r="R412" s="3">
        <v>410</v>
      </c>
      <c r="S412" s="7">
        <f t="shared" ca="1" si="8"/>
        <v>1.4840424624743669</v>
      </c>
    </row>
    <row r="413" spans="18:19" x14ac:dyDescent="0.35">
      <c r="R413" s="3">
        <v>411</v>
      </c>
      <c r="S413" s="7">
        <f t="shared" ca="1" si="8"/>
        <v>-1.4260799120584302</v>
      </c>
    </row>
    <row r="414" spans="18:19" x14ac:dyDescent="0.35">
      <c r="R414" s="3">
        <v>412</v>
      </c>
      <c r="S414" s="7">
        <f t="shared" ca="1" si="8"/>
        <v>-0.28640502261331319</v>
      </c>
    </row>
    <row r="415" spans="18:19" x14ac:dyDescent="0.35">
      <c r="R415" s="3">
        <v>413</v>
      </c>
      <c r="S415" s="7">
        <f t="shared" ca="1" si="8"/>
        <v>0.81392745743719908</v>
      </c>
    </row>
    <row r="416" spans="18:19" x14ac:dyDescent="0.35">
      <c r="R416" s="3">
        <v>414</v>
      </c>
      <c r="S416" s="7">
        <f t="shared" ca="1" si="8"/>
        <v>7.5243334026671134E-3</v>
      </c>
    </row>
    <row r="417" spans="18:19" x14ac:dyDescent="0.35">
      <c r="R417" s="3">
        <v>415</v>
      </c>
      <c r="S417" s="7">
        <f t="shared" ca="1" si="8"/>
        <v>-1.7784858473524132</v>
      </c>
    </row>
    <row r="418" spans="18:19" x14ac:dyDescent="0.35">
      <c r="R418" s="3">
        <v>416</v>
      </c>
      <c r="S418" s="7">
        <f t="shared" ca="1" si="8"/>
        <v>2.0923160039319191</v>
      </c>
    </row>
    <row r="419" spans="18:19" x14ac:dyDescent="0.35">
      <c r="R419" s="3">
        <v>417</v>
      </c>
      <c r="S419" s="7">
        <f t="shared" ca="1" si="8"/>
        <v>-1.4734672918561387</v>
      </c>
    </row>
    <row r="420" spans="18:19" x14ac:dyDescent="0.35">
      <c r="R420" s="3">
        <v>418</v>
      </c>
      <c r="S420" s="7">
        <f t="shared" ca="1" si="8"/>
        <v>1.3223382898823619</v>
      </c>
    </row>
    <row r="421" spans="18:19" x14ac:dyDescent="0.35">
      <c r="R421" s="3">
        <v>419</v>
      </c>
      <c r="S421" s="7">
        <f t="shared" ca="1" si="8"/>
        <v>8.7193516278809644E-3</v>
      </c>
    </row>
    <row r="422" spans="18:19" x14ac:dyDescent="0.35">
      <c r="R422" s="3">
        <v>420</v>
      </c>
      <c r="S422" s="7">
        <f t="shared" ca="1" si="8"/>
        <v>1.0210774538111578</v>
      </c>
    </row>
    <row r="423" spans="18:19" x14ac:dyDescent="0.35">
      <c r="R423" s="3">
        <v>421</v>
      </c>
      <c r="S423" s="7">
        <f t="shared" ca="1" si="8"/>
        <v>0.12228341323995809</v>
      </c>
    </row>
    <row r="424" spans="18:19" x14ac:dyDescent="0.35">
      <c r="R424" s="3">
        <v>422</v>
      </c>
      <c r="S424" s="7">
        <f t="shared" ca="1" si="8"/>
        <v>-1.0434498584917469</v>
      </c>
    </row>
    <row r="425" spans="18:19" x14ac:dyDescent="0.35">
      <c r="R425" s="3">
        <v>423</v>
      </c>
      <c r="S425" s="7">
        <f t="shared" ca="1" si="8"/>
        <v>-3.4183200196212575</v>
      </c>
    </row>
    <row r="426" spans="18:19" x14ac:dyDescent="0.35">
      <c r="R426" s="3">
        <v>424</v>
      </c>
      <c r="S426" s="7">
        <f t="shared" ca="1" si="8"/>
        <v>2.3027270765925376</v>
      </c>
    </row>
    <row r="427" spans="18:19" x14ac:dyDescent="0.35">
      <c r="R427" s="3">
        <v>425</v>
      </c>
      <c r="S427" s="7">
        <f t="shared" ca="1" si="8"/>
        <v>-3.5787676300790792E-2</v>
      </c>
    </row>
    <row r="428" spans="18:19" x14ac:dyDescent="0.35">
      <c r="R428" s="3">
        <v>426</v>
      </c>
      <c r="S428" s="7">
        <f t="shared" ca="1" si="8"/>
        <v>-1.4414608670872922</v>
      </c>
    </row>
    <row r="429" spans="18:19" x14ac:dyDescent="0.35">
      <c r="R429" s="3">
        <v>427</v>
      </c>
      <c r="S429" s="7">
        <f t="shared" ca="1" si="8"/>
        <v>0.20899054190921026</v>
      </c>
    </row>
    <row r="430" spans="18:19" x14ac:dyDescent="0.35">
      <c r="R430" s="3">
        <v>428</v>
      </c>
      <c r="S430" s="7">
        <f t="shared" ca="1" si="8"/>
        <v>-0.13001287607306317</v>
      </c>
    </row>
    <row r="431" spans="18:19" x14ac:dyDescent="0.35">
      <c r="R431" s="3">
        <v>429</v>
      </c>
      <c r="S431" s="7">
        <f t="shared" ca="1" si="8"/>
        <v>-0.80157607525874264</v>
      </c>
    </row>
    <row r="432" spans="18:19" x14ac:dyDescent="0.35">
      <c r="R432" s="3">
        <v>430</v>
      </c>
      <c r="S432" s="7">
        <f t="shared" ca="1" si="8"/>
        <v>0.24162966805151426</v>
      </c>
    </row>
    <row r="433" spans="18:19" x14ac:dyDescent="0.35">
      <c r="R433" s="3">
        <v>431</v>
      </c>
      <c r="S433" s="7">
        <f t="shared" ca="1" si="8"/>
        <v>-0.28072632113097479</v>
      </c>
    </row>
    <row r="434" spans="18:19" x14ac:dyDescent="0.35">
      <c r="R434" s="3">
        <v>432</v>
      </c>
      <c r="S434" s="7">
        <f t="shared" ca="1" si="8"/>
        <v>-1.2432969332791397</v>
      </c>
    </row>
    <row r="435" spans="18:19" x14ac:dyDescent="0.35">
      <c r="R435" s="3">
        <v>433</v>
      </c>
      <c r="S435" s="7">
        <f t="shared" ca="1" si="8"/>
        <v>0.94450391289596247</v>
      </c>
    </row>
    <row r="436" spans="18:19" x14ac:dyDescent="0.35">
      <c r="R436" s="3">
        <v>434</v>
      </c>
      <c r="S436" s="7">
        <f t="shared" ca="1" si="8"/>
        <v>-0.68481293317710923</v>
      </c>
    </row>
    <row r="437" spans="18:19" x14ac:dyDescent="0.35">
      <c r="R437" s="3">
        <v>435</v>
      </c>
      <c r="S437" s="7">
        <f t="shared" ca="1" si="8"/>
        <v>-1.3266059195639406</v>
      </c>
    </row>
    <row r="438" spans="18:19" x14ac:dyDescent="0.35">
      <c r="R438" s="3">
        <v>436</v>
      </c>
      <c r="S438" s="7">
        <f t="shared" ca="1" si="8"/>
        <v>-4.8619374997214955</v>
      </c>
    </row>
    <row r="439" spans="18:19" x14ac:dyDescent="0.35">
      <c r="R439" s="3">
        <v>437</v>
      </c>
      <c r="S439" s="7">
        <f t="shared" ca="1" si="8"/>
        <v>-1.3662185302895598</v>
      </c>
    </row>
    <row r="440" spans="18:19" x14ac:dyDescent="0.35">
      <c r="R440" s="3">
        <v>438</v>
      </c>
      <c r="S440" s="7">
        <f t="shared" ca="1" si="8"/>
        <v>0.38115801747995326</v>
      </c>
    </row>
    <row r="441" spans="18:19" x14ac:dyDescent="0.35">
      <c r="R441" s="3">
        <v>439</v>
      </c>
      <c r="S441" s="7">
        <f t="shared" ca="1" si="8"/>
        <v>-0.32816704818483505</v>
      </c>
    </row>
    <row r="442" spans="18:19" x14ac:dyDescent="0.35">
      <c r="R442" s="3">
        <v>440</v>
      </c>
      <c r="S442" s="7">
        <f t="shared" ca="1" si="8"/>
        <v>-0.95572553341418187</v>
      </c>
    </row>
    <row r="443" spans="18:19" x14ac:dyDescent="0.35">
      <c r="R443" s="3">
        <v>441</v>
      </c>
      <c r="S443" s="7">
        <f t="shared" ca="1" si="8"/>
        <v>0.78656367999475363</v>
      </c>
    </row>
    <row r="444" spans="18:19" x14ac:dyDescent="0.35">
      <c r="R444" s="3">
        <v>442</v>
      </c>
      <c r="S444" s="7">
        <f t="shared" ca="1" si="8"/>
        <v>-2.4153433017781918</v>
      </c>
    </row>
    <row r="445" spans="18:19" x14ac:dyDescent="0.35">
      <c r="R445" s="3">
        <v>443</v>
      </c>
      <c r="S445" s="7">
        <f t="shared" ca="1" si="8"/>
        <v>-2.4976648709058704</v>
      </c>
    </row>
    <row r="446" spans="18:19" x14ac:dyDescent="0.35">
      <c r="R446" s="3">
        <v>444</v>
      </c>
      <c r="S446" s="7">
        <f t="shared" ca="1" si="8"/>
        <v>0.12194140087311686</v>
      </c>
    </row>
    <row r="447" spans="18:19" x14ac:dyDescent="0.35">
      <c r="R447" s="3">
        <v>445</v>
      </c>
      <c r="S447" s="7">
        <f t="shared" ca="1" si="8"/>
        <v>0.8883619329463186</v>
      </c>
    </row>
    <row r="448" spans="18:19" x14ac:dyDescent="0.35">
      <c r="R448" s="3">
        <v>446</v>
      </c>
      <c r="S448" s="7">
        <f t="shared" ca="1" si="8"/>
        <v>-0.37374830504696671</v>
      </c>
    </row>
    <row r="449" spans="18:19" x14ac:dyDescent="0.35">
      <c r="R449" s="3">
        <v>447</v>
      </c>
      <c r="S449" s="7">
        <f t="shared" ca="1" si="8"/>
        <v>-1.2594710533848679</v>
      </c>
    </row>
    <row r="450" spans="18:19" x14ac:dyDescent="0.35">
      <c r="R450" s="3">
        <v>448</v>
      </c>
      <c r="S450" s="7">
        <f t="shared" ca="1" si="8"/>
        <v>0.15102158763068357</v>
      </c>
    </row>
    <row r="451" spans="18:19" x14ac:dyDescent="0.35">
      <c r="R451" s="3">
        <v>449</v>
      </c>
      <c r="S451" s="7">
        <f t="shared" ca="1" si="8"/>
        <v>1.8949673606459605E-2</v>
      </c>
    </row>
    <row r="452" spans="18:19" x14ac:dyDescent="0.35">
      <c r="R452" s="3">
        <v>450</v>
      </c>
      <c r="S452" s="7">
        <f t="shared" ref="S452:S502" ca="1" si="9">_xlfn.T.INV(RAND(),C$3)</f>
        <v>2.5531390506928995</v>
      </c>
    </row>
    <row r="453" spans="18:19" x14ac:dyDescent="0.35">
      <c r="R453" s="3">
        <v>451</v>
      </c>
      <c r="S453" s="7">
        <f t="shared" ca="1" si="9"/>
        <v>-1.3236789318892928</v>
      </c>
    </row>
    <row r="454" spans="18:19" x14ac:dyDescent="0.35">
      <c r="R454" s="3">
        <v>452</v>
      </c>
      <c r="S454" s="7">
        <f t="shared" ca="1" si="9"/>
        <v>0.2970409459062609</v>
      </c>
    </row>
    <row r="455" spans="18:19" x14ac:dyDescent="0.35">
      <c r="R455" s="3">
        <v>453</v>
      </c>
      <c r="S455" s="7">
        <f t="shared" ca="1" si="9"/>
        <v>1.929771338261898</v>
      </c>
    </row>
    <row r="456" spans="18:19" x14ac:dyDescent="0.35">
      <c r="R456" s="3">
        <v>454</v>
      </c>
      <c r="S456" s="7">
        <f t="shared" ca="1" si="9"/>
        <v>-0.55569703687101391</v>
      </c>
    </row>
    <row r="457" spans="18:19" x14ac:dyDescent="0.35">
      <c r="R457" s="3">
        <v>455</v>
      </c>
      <c r="S457" s="7">
        <f t="shared" ca="1" si="9"/>
        <v>1.6912869246836295E-2</v>
      </c>
    </row>
    <row r="458" spans="18:19" x14ac:dyDescent="0.35">
      <c r="R458" s="3">
        <v>456</v>
      </c>
      <c r="S458" s="7">
        <f t="shared" ca="1" si="9"/>
        <v>0.48251485480576534</v>
      </c>
    </row>
    <row r="459" spans="18:19" x14ac:dyDescent="0.35">
      <c r="R459" s="3">
        <v>457</v>
      </c>
      <c r="S459" s="7">
        <f t="shared" ca="1" si="9"/>
        <v>0.40822763904733311</v>
      </c>
    </row>
    <row r="460" spans="18:19" x14ac:dyDescent="0.35">
      <c r="R460" s="3">
        <v>458</v>
      </c>
      <c r="S460" s="7">
        <f t="shared" ca="1" si="9"/>
        <v>1.0774391021174581</v>
      </c>
    </row>
    <row r="461" spans="18:19" x14ac:dyDescent="0.35">
      <c r="R461" s="3">
        <v>459</v>
      </c>
      <c r="S461" s="7">
        <f t="shared" ca="1" si="9"/>
        <v>6.5334020079468917</v>
      </c>
    </row>
    <row r="462" spans="18:19" x14ac:dyDescent="0.35">
      <c r="R462" s="3">
        <v>460</v>
      </c>
      <c r="S462" s="7">
        <f t="shared" ca="1" si="9"/>
        <v>-6.4756910981964844E-2</v>
      </c>
    </row>
    <row r="463" spans="18:19" x14ac:dyDescent="0.35">
      <c r="R463" s="3">
        <v>461</v>
      </c>
      <c r="S463" s="7">
        <f t="shared" ca="1" si="9"/>
        <v>0.51693043648428205</v>
      </c>
    </row>
    <row r="464" spans="18:19" x14ac:dyDescent="0.35">
      <c r="R464" s="3">
        <v>462</v>
      </c>
      <c r="S464" s="7">
        <f t="shared" ca="1" si="9"/>
        <v>0.21339967404089241</v>
      </c>
    </row>
    <row r="465" spans="18:19" x14ac:dyDescent="0.35">
      <c r="R465" s="3">
        <v>463</v>
      </c>
      <c r="S465" s="7">
        <f t="shared" ca="1" si="9"/>
        <v>0.16131199964664641</v>
      </c>
    </row>
    <row r="466" spans="18:19" x14ac:dyDescent="0.35">
      <c r="R466" s="3">
        <v>464</v>
      </c>
      <c r="S466" s="7">
        <f t="shared" ca="1" si="9"/>
        <v>2.4601068044124388E-2</v>
      </c>
    </row>
    <row r="467" spans="18:19" x14ac:dyDescent="0.35">
      <c r="R467" s="3">
        <v>465</v>
      </c>
      <c r="S467" s="7">
        <f t="shared" ca="1" si="9"/>
        <v>-0.14426134344647315</v>
      </c>
    </row>
    <row r="468" spans="18:19" x14ac:dyDescent="0.35">
      <c r="R468" s="3">
        <v>466</v>
      </c>
      <c r="S468" s="7">
        <f t="shared" ca="1" si="9"/>
        <v>8.1343453266241636E-2</v>
      </c>
    </row>
    <row r="469" spans="18:19" x14ac:dyDescent="0.35">
      <c r="R469" s="3">
        <v>467</v>
      </c>
      <c r="S469" s="7">
        <f t="shared" ca="1" si="9"/>
        <v>1.7730886337138412</v>
      </c>
    </row>
    <row r="470" spans="18:19" x14ac:dyDescent="0.35">
      <c r="R470" s="3">
        <v>468</v>
      </c>
      <c r="S470" s="7">
        <f t="shared" ca="1" si="9"/>
        <v>1.3591918100683511</v>
      </c>
    </row>
    <row r="471" spans="18:19" x14ac:dyDescent="0.35">
      <c r="R471" s="3">
        <v>469</v>
      </c>
      <c r="S471" s="7">
        <f t="shared" ca="1" si="9"/>
        <v>0.9584457150506982</v>
      </c>
    </row>
    <row r="472" spans="18:19" x14ac:dyDescent="0.35">
      <c r="R472" s="3">
        <v>470</v>
      </c>
      <c r="S472" s="7">
        <f t="shared" ca="1" si="9"/>
        <v>-0.93159891341526224</v>
      </c>
    </row>
    <row r="473" spans="18:19" x14ac:dyDescent="0.35">
      <c r="R473" s="3">
        <v>471</v>
      </c>
      <c r="S473" s="7">
        <f t="shared" ca="1" si="9"/>
        <v>-1.2279687626627498</v>
      </c>
    </row>
    <row r="474" spans="18:19" x14ac:dyDescent="0.35">
      <c r="R474" s="3">
        <v>472</v>
      </c>
      <c r="S474" s="7">
        <f t="shared" ca="1" si="9"/>
        <v>-0.87263162136060546</v>
      </c>
    </row>
    <row r="475" spans="18:19" x14ac:dyDescent="0.35">
      <c r="R475" s="3">
        <v>473</v>
      </c>
      <c r="S475" s="7">
        <f t="shared" ca="1" si="9"/>
        <v>0.160936158310658</v>
      </c>
    </row>
    <row r="476" spans="18:19" x14ac:dyDescent="0.35">
      <c r="R476" s="3">
        <v>474</v>
      </c>
      <c r="S476" s="7">
        <f t="shared" ca="1" si="9"/>
        <v>0.87005117254094544</v>
      </c>
    </row>
    <row r="477" spans="18:19" x14ac:dyDescent="0.35">
      <c r="R477" s="3">
        <v>475</v>
      </c>
      <c r="S477" s="7">
        <f t="shared" ca="1" si="9"/>
        <v>-1.6780506465511588E-2</v>
      </c>
    </row>
    <row r="478" spans="18:19" x14ac:dyDescent="0.35">
      <c r="R478" s="3">
        <v>476</v>
      </c>
      <c r="S478" s="7">
        <f t="shared" ca="1" si="9"/>
        <v>0.85151368268568317</v>
      </c>
    </row>
    <row r="479" spans="18:19" x14ac:dyDescent="0.35">
      <c r="R479" s="3">
        <v>477</v>
      </c>
      <c r="S479" s="7">
        <f t="shared" ca="1" si="9"/>
        <v>-0.30313261347865877</v>
      </c>
    </row>
    <row r="480" spans="18:19" x14ac:dyDescent="0.35">
      <c r="R480" s="3">
        <v>478</v>
      </c>
      <c r="S480" s="7">
        <f t="shared" ca="1" si="9"/>
        <v>-0.84820289131985915</v>
      </c>
    </row>
    <row r="481" spans="18:19" x14ac:dyDescent="0.35">
      <c r="R481" s="3">
        <v>479</v>
      </c>
      <c r="S481" s="7">
        <f t="shared" ca="1" si="9"/>
        <v>0.15273689960634559</v>
      </c>
    </row>
    <row r="482" spans="18:19" x14ac:dyDescent="0.35">
      <c r="R482" s="3">
        <v>480</v>
      </c>
      <c r="S482" s="7">
        <f t="shared" ca="1" si="9"/>
        <v>6.271805829279951</v>
      </c>
    </row>
    <row r="483" spans="18:19" x14ac:dyDescent="0.35">
      <c r="R483" s="3">
        <v>481</v>
      </c>
      <c r="S483" s="7">
        <f t="shared" ca="1" si="9"/>
        <v>-0.57231207918978033</v>
      </c>
    </row>
    <row r="484" spans="18:19" x14ac:dyDescent="0.35">
      <c r="R484" s="3">
        <v>482</v>
      </c>
      <c r="S484" s="7">
        <f t="shared" ca="1" si="9"/>
        <v>0.42535622561547271</v>
      </c>
    </row>
    <row r="485" spans="18:19" x14ac:dyDescent="0.35">
      <c r="R485" s="3">
        <v>483</v>
      </c>
      <c r="S485" s="7">
        <f t="shared" ca="1" si="9"/>
        <v>-2.8479602555331288E-2</v>
      </c>
    </row>
    <row r="486" spans="18:19" x14ac:dyDescent="0.35">
      <c r="R486" s="3">
        <v>484</v>
      </c>
      <c r="S486" s="7">
        <f t="shared" ca="1" si="9"/>
        <v>-0.48501520210230109</v>
      </c>
    </row>
    <row r="487" spans="18:19" x14ac:dyDescent="0.35">
      <c r="R487" s="3">
        <v>485</v>
      </c>
      <c r="S487" s="7">
        <f t="shared" ca="1" si="9"/>
        <v>-0.98839742338384495</v>
      </c>
    </row>
    <row r="488" spans="18:19" x14ac:dyDescent="0.35">
      <c r="R488" s="3">
        <v>486</v>
      </c>
      <c r="S488" s="7">
        <f t="shared" ca="1" si="9"/>
        <v>-0.61404834017158261</v>
      </c>
    </row>
    <row r="489" spans="18:19" x14ac:dyDescent="0.35">
      <c r="R489" s="3">
        <v>487</v>
      </c>
      <c r="S489" s="7">
        <f t="shared" ca="1" si="9"/>
        <v>-1.4125159984444431</v>
      </c>
    </row>
    <row r="490" spans="18:19" x14ac:dyDescent="0.35">
      <c r="R490" s="3">
        <v>488</v>
      </c>
      <c r="S490" s="7">
        <f t="shared" ca="1" si="9"/>
        <v>-1.5629332058549665</v>
      </c>
    </row>
    <row r="491" spans="18:19" x14ac:dyDescent="0.35">
      <c r="R491" s="3">
        <v>489</v>
      </c>
      <c r="S491" s="7">
        <f t="shared" ca="1" si="9"/>
        <v>0.84389543416532609</v>
      </c>
    </row>
    <row r="492" spans="18:19" x14ac:dyDescent="0.35">
      <c r="R492" s="3">
        <v>490</v>
      </c>
      <c r="S492" s="7">
        <f t="shared" ca="1" si="9"/>
        <v>0.20336883533945072</v>
      </c>
    </row>
    <row r="493" spans="18:19" x14ac:dyDescent="0.35">
      <c r="R493" s="3">
        <v>491</v>
      </c>
      <c r="S493" s="7">
        <f t="shared" ca="1" si="9"/>
        <v>1.4144652407286098</v>
      </c>
    </row>
    <row r="494" spans="18:19" x14ac:dyDescent="0.35">
      <c r="R494" s="3">
        <v>492</v>
      </c>
      <c r="S494" s="7">
        <f t="shared" ca="1" si="9"/>
        <v>-0.31852880769468367</v>
      </c>
    </row>
    <row r="495" spans="18:19" x14ac:dyDescent="0.35">
      <c r="R495" s="3">
        <v>493</v>
      </c>
      <c r="S495" s="7">
        <f t="shared" ca="1" si="9"/>
        <v>0.79382981179376022</v>
      </c>
    </row>
    <row r="496" spans="18:19" x14ac:dyDescent="0.35">
      <c r="R496" s="3">
        <v>494</v>
      </c>
      <c r="S496" s="7">
        <f t="shared" ca="1" si="9"/>
        <v>-0.91327644481967241</v>
      </c>
    </row>
    <row r="497" spans="18:19" x14ac:dyDescent="0.35">
      <c r="R497" s="3">
        <v>495</v>
      </c>
      <c r="S497" s="7">
        <f t="shared" ca="1" si="9"/>
        <v>-0.37988166465525808</v>
      </c>
    </row>
    <row r="498" spans="18:19" x14ac:dyDescent="0.35">
      <c r="R498" s="3">
        <v>496</v>
      </c>
      <c r="S498" s="7">
        <f t="shared" ca="1" si="9"/>
        <v>5.3291955136519208E-2</v>
      </c>
    </row>
    <row r="499" spans="18:19" x14ac:dyDescent="0.35">
      <c r="R499" s="3">
        <v>497</v>
      </c>
      <c r="S499" s="7">
        <f t="shared" ca="1" si="9"/>
        <v>-0.8878884430790478</v>
      </c>
    </row>
    <row r="500" spans="18:19" x14ac:dyDescent="0.35">
      <c r="R500" s="3">
        <v>498</v>
      </c>
      <c r="S500" s="7">
        <f t="shared" ca="1" si="9"/>
        <v>0.37820974361506565</v>
      </c>
    </row>
    <row r="501" spans="18:19" x14ac:dyDescent="0.35">
      <c r="R501" s="3">
        <v>499</v>
      </c>
      <c r="S501" s="7">
        <f t="shared" ca="1" si="9"/>
        <v>-4.8263508935555519E-2</v>
      </c>
    </row>
    <row r="502" spans="18:19" x14ac:dyDescent="0.35">
      <c r="R502" s="3">
        <v>500</v>
      </c>
      <c r="S502" s="7">
        <f t="shared" ca="1" si="9"/>
        <v>-0.88243484260265537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2F40D-5C18-4BE5-BA86-DEC4ADAA4D16}">
  <dimension ref="B2:S502"/>
  <sheetViews>
    <sheetView zoomScale="70" zoomScaleNormal="70" workbookViewId="0"/>
  </sheetViews>
  <sheetFormatPr defaultRowHeight="14.5" x14ac:dyDescent="0.35"/>
  <cols>
    <col min="1" max="1" width="3.36328125" style="1" customWidth="1"/>
    <col min="2" max="2" width="14.90625" style="1" bestFit="1" customWidth="1"/>
    <col min="3" max="3" width="8.7265625" style="1"/>
    <col min="4" max="4" width="8.7265625" style="1" customWidth="1"/>
    <col min="5" max="5" width="12" style="3" customWidth="1"/>
    <col min="6" max="6" width="12" style="7" customWidth="1"/>
    <col min="7" max="17" width="8.7265625" style="1"/>
    <col min="18" max="18" width="12" style="3" customWidth="1"/>
    <col min="19" max="19" width="12" style="7" customWidth="1"/>
    <col min="20" max="16384" width="8.7265625" style="1"/>
  </cols>
  <sheetData>
    <row r="2" spans="2:19" x14ac:dyDescent="0.35">
      <c r="B2" s="5" t="s">
        <v>9</v>
      </c>
      <c r="C2" s="5" t="s">
        <v>10</v>
      </c>
      <c r="E2" s="6" t="s">
        <v>24</v>
      </c>
      <c r="F2" s="8" t="s">
        <v>20</v>
      </c>
      <c r="H2" s="1" t="str">
        <f>"Chi-Square Dist. - d.f. = "&amp;C3</f>
        <v>Chi-Square Dist. - d.f. = 10</v>
      </c>
      <c r="R2" s="6" t="s">
        <v>25</v>
      </c>
      <c r="S2" s="8" t="s">
        <v>26</v>
      </c>
    </row>
    <row r="3" spans="2:19" x14ac:dyDescent="0.35">
      <c r="B3" s="1" t="s">
        <v>19</v>
      </c>
      <c r="C3" s="4">
        <v>10</v>
      </c>
      <c r="E3" s="3">
        <v>1</v>
      </c>
      <c r="F3" s="7">
        <f>_xlfn.CHISQ.DIST(E3,C$3,FALSE)</f>
        <v>7.8975346316749158E-4</v>
      </c>
      <c r="R3" s="3">
        <v>1</v>
      </c>
      <c r="S3" s="7">
        <f ca="1">_xlfn.CHISQ.INV(RAND(),C$3)</f>
        <v>19.462180151142899</v>
      </c>
    </row>
    <row r="4" spans="2:19" x14ac:dyDescent="0.35">
      <c r="E4" s="3">
        <v>2</v>
      </c>
      <c r="F4" s="7">
        <f t="shared" ref="F4:F67" si="0">_xlfn.CHISQ.DIST(E4,C$3,FALSE)</f>
        <v>7.6641550244050498E-3</v>
      </c>
      <c r="R4" s="3">
        <v>2</v>
      </c>
      <c r="S4" s="7">
        <f ca="1">_xlfn.CHISQ.INV(RAND(),C$3)</f>
        <v>5.8035136954236313</v>
      </c>
    </row>
    <row r="5" spans="2:19" x14ac:dyDescent="0.35">
      <c r="E5" s="3">
        <v>3</v>
      </c>
      <c r="F5" s="7">
        <f t="shared" si="0"/>
        <v>2.3533259078154699E-2</v>
      </c>
      <c r="R5" s="3">
        <v>3</v>
      </c>
      <c r="S5" s="7">
        <f t="shared" ref="S5:S68" ca="1" si="1">_xlfn.CHISQ.INV(RAND(),C$3)</f>
        <v>10.233137341946962</v>
      </c>
    </row>
    <row r="6" spans="2:19" x14ac:dyDescent="0.35">
      <c r="E6" s="3">
        <v>4</v>
      </c>
      <c r="F6" s="7">
        <f t="shared" si="0"/>
        <v>4.5111761078870896E-2</v>
      </c>
      <c r="R6" s="3">
        <v>4</v>
      </c>
      <c r="S6" s="7">
        <f t="shared" ca="1" si="1"/>
        <v>8.9834536345434017</v>
      </c>
    </row>
    <row r="7" spans="2:19" x14ac:dyDescent="0.35">
      <c r="E7" s="3">
        <v>5</v>
      </c>
      <c r="F7" s="7">
        <f t="shared" si="0"/>
        <v>6.6800942890542642E-2</v>
      </c>
      <c r="R7" s="3">
        <v>5</v>
      </c>
      <c r="S7" s="7">
        <f t="shared" ca="1" si="1"/>
        <v>7.4633345932755173</v>
      </c>
    </row>
    <row r="8" spans="2:19" x14ac:dyDescent="0.35">
      <c r="E8" s="3">
        <v>6</v>
      </c>
      <c r="F8" s="7">
        <f t="shared" si="0"/>
        <v>8.4015677870770411E-2</v>
      </c>
      <c r="R8" s="3">
        <v>6</v>
      </c>
      <c r="S8" s="7">
        <f t="shared" ca="1" si="1"/>
        <v>5.3300780039807023</v>
      </c>
    </row>
    <row r="9" spans="2:19" x14ac:dyDescent="0.35">
      <c r="E9" s="3">
        <v>7</v>
      </c>
      <c r="F9" s="7">
        <f t="shared" si="0"/>
        <v>9.4406142704409793E-2</v>
      </c>
      <c r="R9" s="3">
        <v>7</v>
      </c>
      <c r="S9" s="7">
        <f t="shared" ca="1" si="1"/>
        <v>7.7412744797383928</v>
      </c>
    </row>
    <row r="10" spans="2:19" x14ac:dyDescent="0.35">
      <c r="E10" s="3">
        <v>8</v>
      </c>
      <c r="F10" s="7">
        <f t="shared" si="0"/>
        <v>9.7683407406582309E-2</v>
      </c>
      <c r="R10" s="3">
        <v>8</v>
      </c>
      <c r="S10" s="7">
        <f t="shared" ca="1" si="1"/>
        <v>4.3827093537989521</v>
      </c>
    </row>
    <row r="11" spans="2:19" x14ac:dyDescent="0.35">
      <c r="E11" s="3">
        <v>9</v>
      </c>
      <c r="F11" s="7">
        <f t="shared" si="0"/>
        <v>9.4903810270062214E-2</v>
      </c>
      <c r="R11" s="3">
        <v>9</v>
      </c>
      <c r="S11" s="7">
        <f t="shared" ca="1" si="1"/>
        <v>13.597566308129823</v>
      </c>
    </row>
    <row r="12" spans="2:19" x14ac:dyDescent="0.35">
      <c r="E12" s="3">
        <v>10</v>
      </c>
      <c r="F12" s="7">
        <f t="shared" si="0"/>
        <v>8.7733684883925356E-2</v>
      </c>
      <c r="R12" s="3">
        <v>10</v>
      </c>
      <c r="S12" s="7">
        <f t="shared" ca="1" si="1"/>
        <v>10.659272348247343</v>
      </c>
    </row>
    <row r="13" spans="2:19" x14ac:dyDescent="0.35">
      <c r="E13" s="3">
        <v>11</v>
      </c>
      <c r="F13" s="7">
        <f t="shared" si="0"/>
        <v>7.7909401862698444E-2</v>
      </c>
      <c r="R13" s="3">
        <v>11</v>
      </c>
      <c r="S13" s="7">
        <f t="shared" ca="1" si="1"/>
        <v>14.399182052382088</v>
      </c>
    </row>
    <row r="14" spans="2:19" x14ac:dyDescent="0.35">
      <c r="E14" s="3">
        <v>12</v>
      </c>
      <c r="F14" s="7">
        <f t="shared" si="0"/>
        <v>6.6926308769991685E-2</v>
      </c>
      <c r="R14" s="3">
        <v>12</v>
      </c>
      <c r="S14" s="7">
        <f t="shared" ca="1" si="1"/>
        <v>8.7329764049956875</v>
      </c>
    </row>
    <row r="15" spans="2:19" x14ac:dyDescent="0.35">
      <c r="E15" s="3">
        <v>13</v>
      </c>
      <c r="F15" s="7">
        <f t="shared" si="0"/>
        <v>5.5911102591969339E-2</v>
      </c>
      <c r="R15" s="3">
        <v>13</v>
      </c>
      <c r="S15" s="7">
        <f t="shared" ca="1" si="1"/>
        <v>14.204170183075183</v>
      </c>
    </row>
    <row r="16" spans="2:19" x14ac:dyDescent="0.35">
      <c r="E16" s="3">
        <v>14</v>
      </c>
      <c r="F16" s="7">
        <f t="shared" si="0"/>
        <v>4.561309581867487E-2</v>
      </c>
      <c r="R16" s="3">
        <v>14</v>
      </c>
      <c r="S16" s="7">
        <f t="shared" ca="1" si="1"/>
        <v>5.5105764046766224</v>
      </c>
    </row>
    <row r="17" spans="5:19" x14ac:dyDescent="0.35">
      <c r="E17" s="3">
        <v>15</v>
      </c>
      <c r="F17" s="7">
        <f t="shared" si="0"/>
        <v>3.6458198227518335E-2</v>
      </c>
      <c r="R17" s="3">
        <v>15</v>
      </c>
      <c r="S17" s="7">
        <f t="shared" ca="1" si="1"/>
        <v>5.4120028573043317</v>
      </c>
    </row>
    <row r="18" spans="5:19" x14ac:dyDescent="0.35">
      <c r="E18" s="3">
        <v>16</v>
      </c>
      <c r="F18" s="7">
        <f t="shared" si="0"/>
        <v>2.8626144247681017E-2</v>
      </c>
      <c r="R18" s="3">
        <v>16</v>
      </c>
      <c r="S18" s="7">
        <f t="shared" ca="1" si="1"/>
        <v>13.29026408879092</v>
      </c>
    </row>
    <row r="19" spans="5:19" x14ac:dyDescent="0.35">
      <c r="E19" s="3">
        <v>17</v>
      </c>
      <c r="F19" s="7">
        <f t="shared" si="0"/>
        <v>2.2127450062679698E-2</v>
      </c>
      <c r="R19" s="3">
        <v>17</v>
      </c>
      <c r="S19" s="7">
        <f t="shared" ca="1" si="1"/>
        <v>3.2551414325597188</v>
      </c>
    </row>
    <row r="20" spans="5:19" x14ac:dyDescent="0.35">
      <c r="E20" s="3">
        <v>18</v>
      </c>
      <c r="F20" s="7">
        <f t="shared" si="0"/>
        <v>1.686857759609801E-2</v>
      </c>
      <c r="R20" s="3">
        <v>18</v>
      </c>
      <c r="S20" s="7">
        <f t="shared" ca="1" si="1"/>
        <v>10.519338552031279</v>
      </c>
    </row>
    <row r="21" spans="5:19" x14ac:dyDescent="0.35">
      <c r="E21" s="3">
        <v>19</v>
      </c>
      <c r="F21" s="7">
        <f t="shared" si="0"/>
        <v>1.2701517347389361E-2</v>
      </c>
      <c r="R21" s="3">
        <v>19</v>
      </c>
      <c r="S21" s="7">
        <f t="shared" ca="1" si="1"/>
        <v>8.8884302255206826</v>
      </c>
    </row>
    <row r="22" spans="5:19" x14ac:dyDescent="0.35">
      <c r="E22" s="3">
        <v>20</v>
      </c>
      <c r="F22" s="7">
        <f t="shared" si="0"/>
        <v>9.4583187005176789E-3</v>
      </c>
      <c r="R22" s="3">
        <v>20</v>
      </c>
      <c r="S22" s="7">
        <f t="shared" ca="1" si="1"/>
        <v>11.81467101627646</v>
      </c>
    </row>
    <row r="23" spans="5:19" x14ac:dyDescent="0.35">
      <c r="E23" s="3">
        <v>21</v>
      </c>
      <c r="F23" s="7">
        <f t="shared" si="0"/>
        <v>6.9730679765471083E-3</v>
      </c>
      <c r="R23" s="3">
        <v>21</v>
      </c>
      <c r="S23" s="7">
        <f t="shared" ca="1" si="1"/>
        <v>6.6551852624452055</v>
      </c>
    </row>
    <row r="24" spans="5:19" x14ac:dyDescent="0.35">
      <c r="E24" s="3">
        <v>22</v>
      </c>
      <c r="F24" s="7">
        <f t="shared" si="0"/>
        <v>5.0943666931247229E-3</v>
      </c>
      <c r="R24" s="3">
        <v>22</v>
      </c>
      <c r="S24" s="7">
        <f t="shared" ca="1" si="1"/>
        <v>21.854396190270169</v>
      </c>
    </row>
    <row r="25" spans="5:19" x14ac:dyDescent="0.35">
      <c r="E25" s="3">
        <v>23</v>
      </c>
      <c r="F25" s="7">
        <f t="shared" si="0"/>
        <v>3.6911660452271038E-3</v>
      </c>
      <c r="R25" s="3">
        <v>23</v>
      </c>
      <c r="S25" s="7">
        <f t="shared" ca="1" si="1"/>
        <v>3.2066250193426704</v>
      </c>
    </row>
    <row r="26" spans="5:19" x14ac:dyDescent="0.35">
      <c r="E26" s="3">
        <v>24</v>
      </c>
      <c r="F26" s="7">
        <f t="shared" si="0"/>
        <v>2.6542997366377865E-3</v>
      </c>
      <c r="R26" s="3">
        <v>24</v>
      </c>
      <c r="S26" s="7">
        <f t="shared" ca="1" si="1"/>
        <v>9.2696478639800723</v>
      </c>
    </row>
    <row r="27" spans="5:19" x14ac:dyDescent="0.35">
      <c r="E27" s="3">
        <v>25</v>
      </c>
      <c r="F27" s="7">
        <f t="shared" si="0"/>
        <v>1.8954738220614974E-3</v>
      </c>
      <c r="R27" s="3">
        <v>25</v>
      </c>
      <c r="S27" s="7">
        <f t="shared" ca="1" si="1"/>
        <v>1.3860774734847641</v>
      </c>
    </row>
    <row r="28" spans="5:19" x14ac:dyDescent="0.35">
      <c r="E28" s="3">
        <v>26</v>
      </c>
      <c r="F28" s="7">
        <f t="shared" si="0"/>
        <v>1.3449430873497057E-3</v>
      </c>
      <c r="R28" s="3">
        <v>26</v>
      </c>
      <c r="S28" s="7">
        <f t="shared" ca="1" si="1"/>
        <v>7.5919918555755563</v>
      </c>
    </row>
    <row r="29" spans="5:19" x14ac:dyDescent="0.35">
      <c r="E29" s="3">
        <v>27</v>
      </c>
      <c r="F29" s="7">
        <f t="shared" si="0"/>
        <v>9.4867691123313026E-4</v>
      </c>
      <c r="R29" s="3">
        <v>27</v>
      </c>
      <c r="S29" s="7">
        <f t="shared" ca="1" si="1"/>
        <v>5.3810564806416918</v>
      </c>
    </row>
    <row r="30" spans="5:19" x14ac:dyDescent="0.35">
      <c r="E30" s="3">
        <v>28</v>
      </c>
      <c r="F30" s="7">
        <f t="shared" si="0"/>
        <v>6.6550015152255521E-4</v>
      </c>
      <c r="R30" s="3">
        <v>28</v>
      </c>
      <c r="S30" s="7">
        <f t="shared" ca="1" si="1"/>
        <v>7.9876816692197572</v>
      </c>
    </row>
    <row r="31" spans="5:19" x14ac:dyDescent="0.35">
      <c r="E31" s="3">
        <v>29</v>
      </c>
      <c r="F31" s="7">
        <f t="shared" si="0"/>
        <v>4.6447333219879958E-4</v>
      </c>
      <c r="R31" s="3">
        <v>29</v>
      </c>
      <c r="S31" s="7">
        <f t="shared" ca="1" si="1"/>
        <v>8.6697706745434235</v>
      </c>
    </row>
    <row r="32" spans="5:19" x14ac:dyDescent="0.35">
      <c r="E32" s="3">
        <v>30</v>
      </c>
      <c r="F32" s="7">
        <f t="shared" si="0"/>
        <v>3.2263135365426959E-4</v>
      </c>
      <c r="R32" s="3">
        <v>30</v>
      </c>
      <c r="S32" s="7">
        <f t="shared" ca="1" si="1"/>
        <v>16.066946742391035</v>
      </c>
    </row>
    <row r="33" spans="5:19" x14ac:dyDescent="0.35">
      <c r="E33" s="3">
        <v>31</v>
      </c>
      <c r="F33" s="7">
        <f t="shared" si="0"/>
        <v>2.2311105294198837E-4</v>
      </c>
      <c r="R33" s="3">
        <v>31</v>
      </c>
      <c r="S33" s="7">
        <f t="shared" ca="1" si="1"/>
        <v>10.297202916477525</v>
      </c>
    </row>
    <row r="34" spans="5:19" x14ac:dyDescent="0.35">
      <c r="E34" s="3">
        <v>32</v>
      </c>
      <c r="F34" s="7">
        <f t="shared" si="0"/>
        <v>1.5364802521669515E-4</v>
      </c>
      <c r="R34" s="3">
        <v>32</v>
      </c>
      <c r="S34" s="7">
        <f t="shared" ca="1" si="1"/>
        <v>15.937470555233347</v>
      </c>
    </row>
    <row r="35" spans="5:19" x14ac:dyDescent="0.35">
      <c r="E35" s="3">
        <v>33</v>
      </c>
      <c r="F35" s="7">
        <f t="shared" si="0"/>
        <v>1.0539878101128159E-4</v>
      </c>
      <c r="R35" s="3">
        <v>33</v>
      </c>
      <c r="S35" s="7">
        <f t="shared" ca="1" si="1"/>
        <v>15.413180423037311</v>
      </c>
    </row>
    <row r="36" spans="5:19" x14ac:dyDescent="0.35">
      <c r="E36" s="3">
        <v>34</v>
      </c>
      <c r="F36" s="7">
        <f t="shared" si="0"/>
        <v>7.2035778793886623E-5</v>
      </c>
      <c r="R36" s="3">
        <v>34</v>
      </c>
      <c r="S36" s="7">
        <f t="shared" ca="1" si="1"/>
        <v>7.2356742850828084</v>
      </c>
    </row>
    <row r="37" spans="5:19" x14ac:dyDescent="0.35">
      <c r="E37" s="3">
        <v>35</v>
      </c>
      <c r="F37" s="7">
        <f t="shared" si="0"/>
        <v>4.9063386824066581E-5</v>
      </c>
      <c r="R37" s="3">
        <v>35</v>
      </c>
      <c r="S37" s="7">
        <f t="shared" ca="1" si="1"/>
        <v>5.6345655320389945</v>
      </c>
    </row>
    <row r="38" spans="5:19" x14ac:dyDescent="0.35">
      <c r="E38" s="3">
        <v>36</v>
      </c>
      <c r="F38" s="7">
        <f t="shared" si="0"/>
        <v>3.3307965701686496E-5</v>
      </c>
      <c r="R38" s="3">
        <v>36</v>
      </c>
      <c r="S38" s="7">
        <f t="shared" ca="1" si="1"/>
        <v>6.1559665982890488</v>
      </c>
    </row>
    <row r="39" spans="5:19" x14ac:dyDescent="0.35">
      <c r="E39" s="3">
        <v>37</v>
      </c>
      <c r="F39" s="7">
        <f t="shared" si="0"/>
        <v>2.2542275906156858E-5</v>
      </c>
      <c r="R39" s="3">
        <v>37</v>
      </c>
      <c r="S39" s="7">
        <f t="shared" ca="1" si="1"/>
        <v>10.591404193378979</v>
      </c>
    </row>
    <row r="40" spans="5:19" x14ac:dyDescent="0.35">
      <c r="E40" s="3">
        <v>38</v>
      </c>
      <c r="F40" s="7">
        <f t="shared" si="0"/>
        <v>1.5211709052839477E-5</v>
      </c>
      <c r="R40" s="3">
        <v>38</v>
      </c>
      <c r="S40" s="7">
        <f t="shared" ca="1" si="1"/>
        <v>5.5608211956951656</v>
      </c>
    </row>
    <row r="41" spans="5:19" x14ac:dyDescent="0.35">
      <c r="E41" s="3">
        <v>39</v>
      </c>
      <c r="F41" s="7">
        <f t="shared" si="0"/>
        <v>1.0236578258594396E-5</v>
      </c>
      <c r="R41" s="3">
        <v>39</v>
      </c>
      <c r="S41" s="7">
        <f t="shared" ca="1" si="1"/>
        <v>8.5527785159051373</v>
      </c>
    </row>
    <row r="42" spans="5:19" x14ac:dyDescent="0.35">
      <c r="E42" s="3">
        <v>40</v>
      </c>
      <c r="F42" s="7">
        <f t="shared" si="0"/>
        <v>6.8705120747951988E-6</v>
      </c>
      <c r="R42" s="3">
        <v>40</v>
      </c>
      <c r="S42" s="7">
        <f t="shared" ca="1" si="1"/>
        <v>4.1975859522990007</v>
      </c>
    </row>
    <row r="43" spans="5:19" x14ac:dyDescent="0.35">
      <c r="E43" s="3">
        <v>41</v>
      </c>
      <c r="F43" s="7">
        <f t="shared" si="0"/>
        <v>4.5997828305649305E-6</v>
      </c>
      <c r="R43" s="3">
        <v>41</v>
      </c>
      <c r="S43" s="7">
        <f t="shared" ca="1" si="1"/>
        <v>2.9207221448827632</v>
      </c>
    </row>
    <row r="44" spans="5:19" x14ac:dyDescent="0.35">
      <c r="E44" s="3">
        <v>42</v>
      </c>
      <c r="F44" s="7">
        <f t="shared" si="0"/>
        <v>3.0722165303765371E-6</v>
      </c>
      <c r="R44" s="3">
        <v>42</v>
      </c>
      <c r="S44" s="7">
        <f t="shared" ca="1" si="1"/>
        <v>16.696744036018774</v>
      </c>
    </row>
    <row r="45" spans="5:19" x14ac:dyDescent="0.35">
      <c r="E45" s="3">
        <v>43</v>
      </c>
      <c r="F45" s="7">
        <f t="shared" si="0"/>
        <v>2.0472988447385292E-6</v>
      </c>
      <c r="R45" s="3">
        <v>43</v>
      </c>
      <c r="S45" s="7">
        <f t="shared" ca="1" si="1"/>
        <v>26.546734225340096</v>
      </c>
    </row>
    <row r="46" spans="5:19" x14ac:dyDescent="0.35">
      <c r="E46" s="3">
        <v>44</v>
      </c>
      <c r="F46" s="7">
        <f t="shared" si="0"/>
        <v>1.3613534115897993E-6</v>
      </c>
      <c r="R46" s="3">
        <v>44</v>
      </c>
      <c r="S46" s="7">
        <f t="shared" ca="1" si="1"/>
        <v>14.970510029499174</v>
      </c>
    </row>
    <row r="47" spans="5:19" x14ac:dyDescent="0.35">
      <c r="E47" s="3">
        <v>45</v>
      </c>
      <c r="F47" s="7">
        <f t="shared" si="0"/>
        <v>9.0336444256818671E-7</v>
      </c>
      <c r="R47" s="3">
        <v>45</v>
      </c>
      <c r="S47" s="7">
        <f t="shared" ca="1" si="1"/>
        <v>13.685911643927012</v>
      </c>
    </row>
    <row r="48" spans="5:19" x14ac:dyDescent="0.35">
      <c r="E48" s="3">
        <v>46</v>
      </c>
      <c r="F48" s="7">
        <f t="shared" si="0"/>
        <v>5.9826972041981019E-7</v>
      </c>
      <c r="R48" s="3">
        <v>46</v>
      </c>
      <c r="S48" s="7">
        <f t="shared" ca="1" si="1"/>
        <v>10.393413251731246</v>
      </c>
    </row>
    <row r="49" spans="5:19" x14ac:dyDescent="0.35">
      <c r="E49" s="3">
        <v>47</v>
      </c>
      <c r="F49" s="7">
        <f t="shared" si="0"/>
        <v>3.9546667002155299E-7</v>
      </c>
      <c r="R49" s="3">
        <v>47</v>
      </c>
      <c r="S49" s="7">
        <f t="shared" ca="1" si="1"/>
        <v>8.6320789579814097</v>
      </c>
    </row>
    <row r="50" spans="5:19" x14ac:dyDescent="0.35">
      <c r="E50" s="3">
        <v>48</v>
      </c>
      <c r="F50" s="7">
        <f t="shared" si="0"/>
        <v>2.6093729970057137E-7</v>
      </c>
      <c r="R50" s="3">
        <v>48</v>
      </c>
      <c r="S50" s="7">
        <f t="shared" ca="1" si="1"/>
        <v>8.3143713554923018</v>
      </c>
    </row>
    <row r="51" spans="5:19" x14ac:dyDescent="0.35">
      <c r="E51" s="3">
        <v>49</v>
      </c>
      <c r="F51" s="7">
        <f t="shared" si="0"/>
        <v>1.7187325166552504E-7</v>
      </c>
      <c r="R51" s="3">
        <v>49</v>
      </c>
      <c r="S51" s="7">
        <f t="shared" ca="1" si="1"/>
        <v>15.008959891673975</v>
      </c>
    </row>
    <row r="52" spans="5:19" x14ac:dyDescent="0.35">
      <c r="E52" s="3">
        <v>50</v>
      </c>
      <c r="F52" s="7">
        <f t="shared" si="0"/>
        <v>1.1302037650524102E-7</v>
      </c>
      <c r="R52" s="3">
        <v>50</v>
      </c>
      <c r="S52" s="7">
        <f t="shared" ca="1" si="1"/>
        <v>17.977012553887462</v>
      </c>
    </row>
    <row r="53" spans="5:19" x14ac:dyDescent="0.35">
      <c r="E53" s="3">
        <v>51</v>
      </c>
      <c r="F53" s="7">
        <f t="shared" si="0"/>
        <v>7.4201074759368552E-8</v>
      </c>
      <c r="R53" s="3">
        <v>51</v>
      </c>
      <c r="S53" s="7">
        <f t="shared" ca="1" si="1"/>
        <v>11.184521275315387</v>
      </c>
    </row>
    <row r="54" spans="5:19" x14ac:dyDescent="0.35">
      <c r="E54" s="3">
        <v>52</v>
      </c>
      <c r="F54" s="7">
        <f t="shared" si="0"/>
        <v>4.8640230576838885E-8</v>
      </c>
      <c r="R54" s="3">
        <v>52</v>
      </c>
      <c r="S54" s="7">
        <f t="shared" ca="1" si="1"/>
        <v>6.4216242445661145</v>
      </c>
    </row>
    <row r="55" spans="5:19" x14ac:dyDescent="0.35">
      <c r="E55" s="3">
        <v>53</v>
      </c>
      <c r="F55" s="7">
        <f t="shared" si="0"/>
        <v>3.1837465542344928E-8</v>
      </c>
      <c r="R55" s="3">
        <v>53</v>
      </c>
      <c r="S55" s="7">
        <f t="shared" ca="1" si="1"/>
        <v>6.3069592805113857</v>
      </c>
    </row>
    <row r="56" spans="5:19" x14ac:dyDescent="0.35">
      <c r="E56" s="3">
        <v>54</v>
      </c>
      <c r="F56" s="7">
        <f t="shared" si="0"/>
        <v>2.0809555703965568E-8</v>
      </c>
      <c r="R56" s="3">
        <v>54</v>
      </c>
      <c r="S56" s="7">
        <f t="shared" ca="1" si="1"/>
        <v>10.103558302813873</v>
      </c>
    </row>
    <row r="57" spans="5:19" x14ac:dyDescent="0.35">
      <c r="E57" s="3">
        <v>55</v>
      </c>
      <c r="F57" s="7">
        <f t="shared" si="0"/>
        <v>1.3582861914406256E-8</v>
      </c>
      <c r="R57" s="3">
        <v>55</v>
      </c>
      <c r="S57" s="7">
        <f t="shared" ca="1" si="1"/>
        <v>14.285223624992749</v>
      </c>
    </row>
    <row r="58" spans="5:19" x14ac:dyDescent="0.35">
      <c r="E58" s="3">
        <v>56</v>
      </c>
      <c r="F58" s="7">
        <f t="shared" si="0"/>
        <v>8.8541198169404947E-9</v>
      </c>
      <c r="R58" s="3">
        <v>56</v>
      </c>
      <c r="S58" s="7">
        <f t="shared" ca="1" si="1"/>
        <v>10.763115147258532</v>
      </c>
    </row>
    <row r="59" spans="5:19" x14ac:dyDescent="0.35">
      <c r="E59" s="3">
        <v>57</v>
      </c>
      <c r="F59" s="7">
        <f t="shared" si="0"/>
        <v>5.76428530776695E-9</v>
      </c>
      <c r="R59" s="3">
        <v>57</v>
      </c>
      <c r="S59" s="7">
        <f t="shared" ca="1" si="1"/>
        <v>6.7645135794945839</v>
      </c>
    </row>
    <row r="60" spans="5:19" x14ac:dyDescent="0.35">
      <c r="E60" s="3">
        <v>58</v>
      </c>
      <c r="F60" s="7">
        <f t="shared" si="0"/>
        <v>3.7480966307133262E-9</v>
      </c>
      <c r="R60" s="3">
        <v>58</v>
      </c>
      <c r="S60" s="7">
        <f t="shared" ca="1" si="1"/>
        <v>12.51074693419767</v>
      </c>
    </row>
    <row r="61" spans="5:19" x14ac:dyDescent="0.35">
      <c r="E61" s="3">
        <v>59</v>
      </c>
      <c r="F61" s="7">
        <f t="shared" si="0"/>
        <v>2.4342187895729764E-9</v>
      </c>
      <c r="R61" s="3">
        <v>59</v>
      </c>
      <c r="S61" s="7">
        <f t="shared" ca="1" si="1"/>
        <v>9.7035777202808688</v>
      </c>
    </row>
    <row r="62" spans="5:19" x14ac:dyDescent="0.35">
      <c r="E62" s="3">
        <v>60</v>
      </c>
      <c r="F62" s="7">
        <f t="shared" si="0"/>
        <v>1.5790988759917756E-9</v>
      </c>
      <c r="R62" s="3">
        <v>60</v>
      </c>
      <c r="S62" s="7">
        <f t="shared" ca="1" si="1"/>
        <v>7.163683246997067</v>
      </c>
    </row>
    <row r="63" spans="5:19" x14ac:dyDescent="0.35">
      <c r="E63" s="3">
        <v>61</v>
      </c>
      <c r="F63" s="7">
        <f t="shared" si="0"/>
        <v>1.0232374387640725E-9</v>
      </c>
      <c r="R63" s="3">
        <v>61</v>
      </c>
      <c r="S63" s="7">
        <f t="shared" ca="1" si="1"/>
        <v>9.4876067059627811</v>
      </c>
    </row>
    <row r="64" spans="5:19" x14ac:dyDescent="0.35">
      <c r="E64" s="3">
        <v>62</v>
      </c>
      <c r="F64" s="7">
        <f t="shared" si="0"/>
        <v>6.6233331285235387E-10</v>
      </c>
      <c r="R64" s="3">
        <v>62</v>
      </c>
      <c r="S64" s="7">
        <f t="shared" ca="1" si="1"/>
        <v>9.2981629764982365</v>
      </c>
    </row>
    <row r="65" spans="5:19" x14ac:dyDescent="0.35">
      <c r="E65" s="3">
        <v>63</v>
      </c>
      <c r="F65" s="7">
        <f t="shared" si="0"/>
        <v>4.2827704533085649E-10</v>
      </c>
      <c r="R65" s="3">
        <v>63</v>
      </c>
      <c r="S65" s="7">
        <f t="shared" ca="1" si="1"/>
        <v>13.463168149065281</v>
      </c>
    </row>
    <row r="66" spans="5:19" x14ac:dyDescent="0.35">
      <c r="E66" s="3">
        <v>64</v>
      </c>
      <c r="F66" s="7">
        <f t="shared" si="0"/>
        <v>2.7665291780847875E-10</v>
      </c>
      <c r="R66" s="3">
        <v>64</v>
      </c>
      <c r="S66" s="7">
        <f t="shared" ca="1" si="1"/>
        <v>10.804695959919034</v>
      </c>
    </row>
    <row r="67" spans="5:19" x14ac:dyDescent="0.35">
      <c r="E67" s="3">
        <v>65</v>
      </c>
      <c r="F67" s="7">
        <f t="shared" si="0"/>
        <v>1.7853425049972073E-10</v>
      </c>
      <c r="R67" s="3">
        <v>65</v>
      </c>
      <c r="S67" s="7">
        <f t="shared" ca="1" si="1"/>
        <v>8.6921916207230385</v>
      </c>
    </row>
    <row r="68" spans="5:19" x14ac:dyDescent="0.35">
      <c r="E68" s="3">
        <v>66</v>
      </c>
      <c r="F68" s="7">
        <f t="shared" ref="F68:F102" si="2">_xlfn.CHISQ.DIST(E68,C$3,FALSE)</f>
        <v>1.1510564408514905E-10</v>
      </c>
      <c r="R68" s="3">
        <v>66</v>
      </c>
      <c r="S68" s="7">
        <f t="shared" ca="1" si="1"/>
        <v>9.7396790093576708</v>
      </c>
    </row>
    <row r="69" spans="5:19" x14ac:dyDescent="0.35">
      <c r="E69" s="3">
        <v>67</v>
      </c>
      <c r="F69" s="7">
        <f t="shared" si="2"/>
        <v>7.4143459647524159E-11</v>
      </c>
      <c r="R69" s="3">
        <v>67</v>
      </c>
      <c r="S69" s="7">
        <f t="shared" ref="S69:S132" ca="1" si="3">_xlfn.CHISQ.INV(RAND(),C$3)</f>
        <v>8.5359999679742042</v>
      </c>
    </row>
    <row r="70" spans="5:19" x14ac:dyDescent="0.35">
      <c r="E70" s="3">
        <v>68</v>
      </c>
      <c r="F70" s="7">
        <f t="shared" si="2"/>
        <v>4.7715782036940244E-11</v>
      </c>
      <c r="R70" s="3">
        <v>68</v>
      </c>
      <c r="S70" s="7">
        <f t="shared" ca="1" si="3"/>
        <v>12.640158415943777</v>
      </c>
    </row>
    <row r="71" spans="5:19" x14ac:dyDescent="0.35">
      <c r="E71" s="3">
        <v>69</v>
      </c>
      <c r="F71" s="7">
        <f t="shared" si="2"/>
        <v>3.0681424341963986E-11</v>
      </c>
      <c r="R71" s="3">
        <v>69</v>
      </c>
      <c r="S71" s="7">
        <f t="shared" ca="1" si="3"/>
        <v>10.407331711381234</v>
      </c>
    </row>
    <row r="72" spans="5:19" x14ac:dyDescent="0.35">
      <c r="E72" s="3">
        <v>70</v>
      </c>
      <c r="F72" s="7">
        <f t="shared" si="2"/>
        <v>1.9711699662907494E-11</v>
      </c>
      <c r="R72" s="3">
        <v>70</v>
      </c>
      <c r="S72" s="7">
        <f t="shared" ca="1" si="3"/>
        <v>2.1149982960755089</v>
      </c>
    </row>
    <row r="73" spans="5:19" x14ac:dyDescent="0.35">
      <c r="E73" s="3">
        <v>71</v>
      </c>
      <c r="F73" s="7">
        <f t="shared" si="2"/>
        <v>1.2653715544079441E-11</v>
      </c>
      <c r="R73" s="3">
        <v>71</v>
      </c>
      <c r="S73" s="7">
        <f t="shared" ca="1" si="3"/>
        <v>16.247115153053475</v>
      </c>
    </row>
    <row r="74" spans="5:19" x14ac:dyDescent="0.35">
      <c r="E74" s="3">
        <v>72</v>
      </c>
      <c r="F74" s="7">
        <f t="shared" si="2"/>
        <v>8.116474287588317E-12</v>
      </c>
      <c r="R74" s="3">
        <v>72</v>
      </c>
      <c r="S74" s="7">
        <f t="shared" ca="1" si="3"/>
        <v>7.6111641638144825</v>
      </c>
    </row>
    <row r="75" spans="5:19" x14ac:dyDescent="0.35">
      <c r="E75" s="3">
        <v>73</v>
      </c>
      <c r="F75" s="7">
        <f t="shared" si="2"/>
        <v>5.2021351515258238E-12</v>
      </c>
      <c r="R75" s="3">
        <v>73</v>
      </c>
      <c r="S75" s="7">
        <f t="shared" ca="1" si="3"/>
        <v>11.730537176033465</v>
      </c>
    </row>
    <row r="76" spans="5:19" x14ac:dyDescent="0.35">
      <c r="E76" s="3">
        <v>74</v>
      </c>
      <c r="F76" s="7">
        <f t="shared" si="2"/>
        <v>3.3317302231900231E-12</v>
      </c>
      <c r="R76" s="3">
        <v>74</v>
      </c>
      <c r="S76" s="7">
        <f t="shared" ca="1" si="3"/>
        <v>8.4519991203827534</v>
      </c>
    </row>
    <row r="77" spans="5:19" x14ac:dyDescent="0.35">
      <c r="E77" s="3">
        <v>75</v>
      </c>
      <c r="F77" s="7">
        <f t="shared" si="2"/>
        <v>2.13226295710221E-12</v>
      </c>
      <c r="R77" s="3">
        <v>75</v>
      </c>
      <c r="S77" s="7">
        <f t="shared" ca="1" si="3"/>
        <v>5.706623401003907</v>
      </c>
    </row>
    <row r="78" spans="5:19" x14ac:dyDescent="0.35">
      <c r="E78" s="3">
        <v>76</v>
      </c>
      <c r="F78" s="7">
        <f t="shared" si="2"/>
        <v>1.3636497486416416E-12</v>
      </c>
      <c r="R78" s="3">
        <v>76</v>
      </c>
      <c r="S78" s="7">
        <f t="shared" ca="1" si="3"/>
        <v>12.203665532390341</v>
      </c>
    </row>
    <row r="79" spans="5:19" x14ac:dyDescent="0.35">
      <c r="E79" s="3">
        <v>77</v>
      </c>
      <c r="F79" s="7">
        <f t="shared" si="2"/>
        <v>8.7149345002031533E-13</v>
      </c>
      <c r="R79" s="3">
        <v>77</v>
      </c>
      <c r="S79" s="7">
        <f t="shared" ca="1" si="3"/>
        <v>12.268813483802973</v>
      </c>
    </row>
    <row r="80" spans="5:19" x14ac:dyDescent="0.35">
      <c r="E80" s="3">
        <v>78</v>
      </c>
      <c r="F80" s="7">
        <f t="shared" si="2"/>
        <v>5.5658615164678791E-13</v>
      </c>
      <c r="R80" s="3">
        <v>78</v>
      </c>
      <c r="S80" s="7">
        <f t="shared" ca="1" si="3"/>
        <v>6.704771785858374</v>
      </c>
    </row>
    <row r="81" spans="5:19" x14ac:dyDescent="0.35">
      <c r="E81" s="3">
        <v>79</v>
      </c>
      <c r="F81" s="7">
        <f t="shared" si="2"/>
        <v>3.5523447756742519E-13</v>
      </c>
      <c r="R81" s="3">
        <v>79</v>
      </c>
      <c r="S81" s="7">
        <f t="shared" ca="1" si="3"/>
        <v>3.7603083544694544</v>
      </c>
    </row>
    <row r="82" spans="5:19" x14ac:dyDescent="0.35">
      <c r="E82" s="3">
        <v>80</v>
      </c>
      <c r="F82" s="7">
        <f t="shared" si="2"/>
        <v>2.2657889361555127E-13</v>
      </c>
      <c r="R82" s="3">
        <v>80</v>
      </c>
      <c r="S82" s="7">
        <f t="shared" ca="1" si="3"/>
        <v>15.114058314117376</v>
      </c>
    </row>
    <row r="83" spans="5:19" x14ac:dyDescent="0.35">
      <c r="E83" s="3">
        <v>81</v>
      </c>
      <c r="F83" s="7">
        <f t="shared" si="2"/>
        <v>1.4442831297208474E-13</v>
      </c>
      <c r="R83" s="3">
        <v>81</v>
      </c>
      <c r="S83" s="7">
        <f t="shared" ca="1" si="3"/>
        <v>8.0072330700854693</v>
      </c>
    </row>
    <row r="84" spans="5:19" x14ac:dyDescent="0.35">
      <c r="E84" s="3">
        <v>82</v>
      </c>
      <c r="F84" s="7">
        <f t="shared" si="2"/>
        <v>9.2006907046196236E-14</v>
      </c>
      <c r="R84" s="3">
        <v>82</v>
      </c>
      <c r="S84" s="7">
        <f t="shared" ca="1" si="3"/>
        <v>8.4526927071817948</v>
      </c>
    </row>
    <row r="85" spans="5:19" x14ac:dyDescent="0.35">
      <c r="E85" s="3">
        <v>83</v>
      </c>
      <c r="F85" s="7">
        <f t="shared" si="2"/>
        <v>5.8577407983135177E-14</v>
      </c>
      <c r="R85" s="3">
        <v>83</v>
      </c>
      <c r="S85" s="7">
        <f t="shared" ca="1" si="3"/>
        <v>5.6522640650098142</v>
      </c>
    </row>
    <row r="86" spans="5:19" x14ac:dyDescent="0.35">
      <c r="E86" s="3">
        <v>84</v>
      </c>
      <c r="F86" s="7">
        <f t="shared" si="2"/>
        <v>3.7272427982735867E-14</v>
      </c>
      <c r="R86" s="3">
        <v>84</v>
      </c>
      <c r="S86" s="7">
        <f t="shared" ca="1" si="3"/>
        <v>6.4755746932749814</v>
      </c>
    </row>
    <row r="87" spans="5:19" x14ac:dyDescent="0.35">
      <c r="E87" s="3">
        <v>85</v>
      </c>
      <c r="F87" s="7">
        <f t="shared" si="2"/>
        <v>2.3702764519344763E-14</v>
      </c>
      <c r="R87" s="3">
        <v>85</v>
      </c>
      <c r="S87" s="7">
        <f t="shared" ca="1" si="3"/>
        <v>6.8872328901081739</v>
      </c>
    </row>
    <row r="88" spans="5:19" x14ac:dyDescent="0.35">
      <c r="E88" s="3">
        <v>86</v>
      </c>
      <c r="F88" s="7">
        <f t="shared" si="2"/>
        <v>1.5065025221765432E-14</v>
      </c>
      <c r="R88" s="3">
        <v>86</v>
      </c>
      <c r="S88" s="7">
        <f t="shared" ca="1" si="3"/>
        <v>10.967826032097294</v>
      </c>
    </row>
    <row r="89" spans="5:19" x14ac:dyDescent="0.35">
      <c r="E89" s="3">
        <v>87</v>
      </c>
      <c r="F89" s="7">
        <f t="shared" si="2"/>
        <v>9.5698653598179257E-15</v>
      </c>
      <c r="R89" s="3">
        <v>87</v>
      </c>
      <c r="S89" s="7">
        <f t="shared" ca="1" si="3"/>
        <v>20.957543633045425</v>
      </c>
    </row>
    <row r="90" spans="5:19" x14ac:dyDescent="0.35">
      <c r="E90" s="3">
        <v>88</v>
      </c>
      <c r="F90" s="7">
        <f t="shared" si="2"/>
        <v>6.075923047596795E-15</v>
      </c>
      <c r="R90" s="3">
        <v>88</v>
      </c>
      <c r="S90" s="7">
        <f t="shared" ca="1" si="3"/>
        <v>4.4758020198084578</v>
      </c>
    </row>
    <row r="91" spans="5:19" x14ac:dyDescent="0.35">
      <c r="E91" s="3">
        <v>89</v>
      </c>
      <c r="F91" s="7">
        <f t="shared" si="2"/>
        <v>3.8556212203704695E-15</v>
      </c>
      <c r="R91" s="3">
        <v>89</v>
      </c>
      <c r="S91" s="7">
        <f t="shared" ca="1" si="3"/>
        <v>3.9660447421022398</v>
      </c>
    </row>
    <row r="92" spans="5:19" x14ac:dyDescent="0.35">
      <c r="E92" s="3">
        <v>90</v>
      </c>
      <c r="F92" s="7">
        <f t="shared" si="2"/>
        <v>2.4454406779927857E-15</v>
      </c>
      <c r="R92" s="3">
        <v>90</v>
      </c>
      <c r="S92" s="7">
        <f t="shared" ca="1" si="3"/>
        <v>6.379833204121959</v>
      </c>
    </row>
    <row r="93" spans="5:19" x14ac:dyDescent="0.35">
      <c r="E93" s="3">
        <v>91</v>
      </c>
      <c r="F93" s="7">
        <f t="shared" si="2"/>
        <v>1.5502631455285998E-15</v>
      </c>
      <c r="R93" s="3">
        <v>91</v>
      </c>
      <c r="S93" s="7">
        <f t="shared" ca="1" si="3"/>
        <v>6.3431903131798135</v>
      </c>
    </row>
    <row r="94" spans="5:19" x14ac:dyDescent="0.35">
      <c r="E94" s="3">
        <v>92</v>
      </c>
      <c r="F94" s="7">
        <f t="shared" si="2"/>
        <v>9.8229949731840412E-16</v>
      </c>
      <c r="R94" s="3">
        <v>92</v>
      </c>
      <c r="S94" s="7">
        <f t="shared" ca="1" si="3"/>
        <v>7.3528328604227635</v>
      </c>
    </row>
    <row r="95" spans="5:19" x14ac:dyDescent="0.35">
      <c r="E95" s="3">
        <v>93</v>
      </c>
      <c r="F95" s="7">
        <f t="shared" si="2"/>
        <v>6.2212430084353651E-16</v>
      </c>
      <c r="R95" s="3">
        <v>93</v>
      </c>
      <c r="S95" s="7">
        <f t="shared" ca="1" si="3"/>
        <v>4.8019617105699872</v>
      </c>
    </row>
    <row r="96" spans="5:19" x14ac:dyDescent="0.35">
      <c r="E96" s="3">
        <v>94</v>
      </c>
      <c r="F96" s="7">
        <f t="shared" si="2"/>
        <v>3.9383067964062348E-16</v>
      </c>
      <c r="R96" s="3">
        <v>94</v>
      </c>
      <c r="S96" s="7">
        <f t="shared" ca="1" si="3"/>
        <v>4.9359761121781398</v>
      </c>
    </row>
    <row r="97" spans="5:19" x14ac:dyDescent="0.35">
      <c r="E97" s="3">
        <v>95</v>
      </c>
      <c r="F97" s="7">
        <f t="shared" si="2"/>
        <v>2.4919843508722984E-16</v>
      </c>
      <c r="R97" s="3">
        <v>95</v>
      </c>
      <c r="S97" s="7">
        <f t="shared" ca="1" si="3"/>
        <v>11.910987039644748</v>
      </c>
    </row>
    <row r="98" spans="5:19" x14ac:dyDescent="0.35">
      <c r="E98" s="3">
        <v>96</v>
      </c>
      <c r="F98" s="7">
        <f t="shared" si="2"/>
        <v>1.5761174623848561E-16</v>
      </c>
      <c r="R98" s="3">
        <v>96</v>
      </c>
      <c r="S98" s="7">
        <f t="shared" ca="1" si="3"/>
        <v>8.905165692971492</v>
      </c>
    </row>
    <row r="99" spans="5:19" x14ac:dyDescent="0.35">
      <c r="E99" s="3">
        <v>97</v>
      </c>
      <c r="F99" s="7">
        <f t="shared" si="2"/>
        <v>9.9642208481773733E-17</v>
      </c>
      <c r="R99" s="3">
        <v>97</v>
      </c>
      <c r="S99" s="7">
        <f t="shared" ca="1" si="3"/>
        <v>3.9652851435554073</v>
      </c>
    </row>
    <row r="100" spans="5:19" x14ac:dyDescent="0.35">
      <c r="E100" s="3">
        <v>98</v>
      </c>
      <c r="F100" s="7">
        <f t="shared" si="2"/>
        <v>6.2967067739674223E-17</v>
      </c>
      <c r="R100" s="3">
        <v>98</v>
      </c>
      <c r="S100" s="7">
        <f t="shared" ca="1" si="3"/>
        <v>12.453796220397827</v>
      </c>
    </row>
    <row r="101" spans="5:19" x14ac:dyDescent="0.35">
      <c r="E101" s="3">
        <v>99</v>
      </c>
      <c r="F101" s="7">
        <f t="shared" si="2"/>
        <v>3.9774314565704052E-17</v>
      </c>
      <c r="R101" s="3">
        <v>99</v>
      </c>
      <c r="S101" s="7">
        <f t="shared" ca="1" si="3"/>
        <v>3.3131264782100311</v>
      </c>
    </row>
    <row r="102" spans="5:19" x14ac:dyDescent="0.35">
      <c r="E102" s="3">
        <v>100</v>
      </c>
      <c r="F102" s="7">
        <f t="shared" si="2"/>
        <v>2.5113930312030142E-17</v>
      </c>
      <c r="R102" s="3">
        <v>100</v>
      </c>
      <c r="S102" s="7">
        <f t="shared" ca="1" si="3"/>
        <v>11.351741347678669</v>
      </c>
    </row>
    <row r="103" spans="5:19" x14ac:dyDescent="0.35">
      <c r="R103" s="3">
        <v>101</v>
      </c>
      <c r="S103" s="7">
        <f t="shared" ca="1" si="3"/>
        <v>16.224144448741953</v>
      </c>
    </row>
    <row r="104" spans="5:19" x14ac:dyDescent="0.35">
      <c r="R104" s="3">
        <v>102</v>
      </c>
      <c r="S104" s="7">
        <f t="shared" ca="1" si="3"/>
        <v>7.4810315592753689</v>
      </c>
    </row>
    <row r="105" spans="5:19" x14ac:dyDescent="0.35">
      <c r="R105" s="3">
        <v>103</v>
      </c>
      <c r="S105" s="7">
        <f t="shared" ca="1" si="3"/>
        <v>5.4536988882205453</v>
      </c>
    </row>
    <row r="106" spans="5:19" x14ac:dyDescent="0.35">
      <c r="R106" s="3">
        <v>104</v>
      </c>
      <c r="S106" s="7">
        <f t="shared" ca="1" si="3"/>
        <v>8.0404030257974206</v>
      </c>
    </row>
    <row r="107" spans="5:19" x14ac:dyDescent="0.35">
      <c r="R107" s="3">
        <v>105</v>
      </c>
      <c r="S107" s="7">
        <f t="shared" ca="1" si="3"/>
        <v>12.535657725917389</v>
      </c>
    </row>
    <row r="108" spans="5:19" x14ac:dyDescent="0.35">
      <c r="R108" s="3">
        <v>106</v>
      </c>
      <c r="S108" s="7">
        <f t="shared" ca="1" si="3"/>
        <v>10.151960011419252</v>
      </c>
    </row>
    <row r="109" spans="5:19" x14ac:dyDescent="0.35">
      <c r="R109" s="3">
        <v>107</v>
      </c>
      <c r="S109" s="7">
        <f t="shared" ca="1" si="3"/>
        <v>4.4309651552694547</v>
      </c>
    </row>
    <row r="110" spans="5:19" x14ac:dyDescent="0.35">
      <c r="R110" s="3">
        <v>108</v>
      </c>
      <c r="S110" s="7">
        <f t="shared" ca="1" si="3"/>
        <v>15.3473830043195</v>
      </c>
    </row>
    <row r="111" spans="5:19" x14ac:dyDescent="0.35">
      <c r="R111" s="3">
        <v>109</v>
      </c>
      <c r="S111" s="7">
        <f t="shared" ca="1" si="3"/>
        <v>13.394732058456778</v>
      </c>
    </row>
    <row r="112" spans="5:19" x14ac:dyDescent="0.35">
      <c r="R112" s="3">
        <v>110</v>
      </c>
      <c r="S112" s="7">
        <f t="shared" ca="1" si="3"/>
        <v>15.495061615602317</v>
      </c>
    </row>
    <row r="113" spans="18:19" x14ac:dyDescent="0.35">
      <c r="R113" s="3">
        <v>111</v>
      </c>
      <c r="S113" s="7">
        <f t="shared" ca="1" si="3"/>
        <v>7.0625371349253445</v>
      </c>
    </row>
    <row r="114" spans="18:19" x14ac:dyDescent="0.35">
      <c r="R114" s="3">
        <v>112</v>
      </c>
      <c r="S114" s="7">
        <f t="shared" ca="1" si="3"/>
        <v>2.5973953487393588</v>
      </c>
    </row>
    <row r="115" spans="18:19" x14ac:dyDescent="0.35">
      <c r="R115" s="3">
        <v>113</v>
      </c>
      <c r="S115" s="7">
        <f t="shared" ca="1" si="3"/>
        <v>8.7690309954471033</v>
      </c>
    </row>
    <row r="116" spans="18:19" x14ac:dyDescent="0.35">
      <c r="R116" s="3">
        <v>114</v>
      </c>
      <c r="S116" s="7">
        <f t="shared" ca="1" si="3"/>
        <v>16.18146773107928</v>
      </c>
    </row>
    <row r="117" spans="18:19" x14ac:dyDescent="0.35">
      <c r="R117" s="3">
        <v>115</v>
      </c>
      <c r="S117" s="7">
        <f t="shared" ca="1" si="3"/>
        <v>4.0548654376548532</v>
      </c>
    </row>
    <row r="118" spans="18:19" x14ac:dyDescent="0.35">
      <c r="R118" s="3">
        <v>116</v>
      </c>
      <c r="S118" s="7">
        <f t="shared" ca="1" si="3"/>
        <v>3.1639686631607367</v>
      </c>
    </row>
    <row r="119" spans="18:19" x14ac:dyDescent="0.35">
      <c r="R119" s="3">
        <v>117</v>
      </c>
      <c r="S119" s="7">
        <f t="shared" ca="1" si="3"/>
        <v>6.2018181786492796</v>
      </c>
    </row>
    <row r="120" spans="18:19" x14ac:dyDescent="0.35">
      <c r="R120" s="3">
        <v>118</v>
      </c>
      <c r="S120" s="7">
        <f t="shared" ca="1" si="3"/>
        <v>16.368231398324831</v>
      </c>
    </row>
    <row r="121" spans="18:19" x14ac:dyDescent="0.35">
      <c r="R121" s="3">
        <v>119</v>
      </c>
      <c r="S121" s="7">
        <f t="shared" ca="1" si="3"/>
        <v>11.653793144728597</v>
      </c>
    </row>
    <row r="122" spans="18:19" x14ac:dyDescent="0.35">
      <c r="R122" s="3">
        <v>120</v>
      </c>
      <c r="S122" s="7">
        <f t="shared" ca="1" si="3"/>
        <v>7.6681847635037403</v>
      </c>
    </row>
    <row r="123" spans="18:19" x14ac:dyDescent="0.35">
      <c r="R123" s="3">
        <v>121</v>
      </c>
      <c r="S123" s="7">
        <f t="shared" ca="1" si="3"/>
        <v>5.1593475421211306</v>
      </c>
    </row>
    <row r="124" spans="18:19" x14ac:dyDescent="0.35">
      <c r="R124" s="3">
        <v>122</v>
      </c>
      <c r="S124" s="7">
        <f t="shared" ca="1" si="3"/>
        <v>6.9704989930327459</v>
      </c>
    </row>
    <row r="125" spans="18:19" x14ac:dyDescent="0.35">
      <c r="R125" s="3">
        <v>123</v>
      </c>
      <c r="S125" s="7">
        <f t="shared" ca="1" si="3"/>
        <v>10.953588402850642</v>
      </c>
    </row>
    <row r="126" spans="18:19" x14ac:dyDescent="0.35">
      <c r="R126" s="3">
        <v>124</v>
      </c>
      <c r="S126" s="7">
        <f t="shared" ca="1" si="3"/>
        <v>14.273068449080267</v>
      </c>
    </row>
    <row r="127" spans="18:19" x14ac:dyDescent="0.35">
      <c r="R127" s="3">
        <v>125</v>
      </c>
      <c r="S127" s="7">
        <f t="shared" ca="1" si="3"/>
        <v>6.9466168010520031</v>
      </c>
    </row>
    <row r="128" spans="18:19" x14ac:dyDescent="0.35">
      <c r="R128" s="3">
        <v>126</v>
      </c>
      <c r="S128" s="7">
        <f t="shared" ca="1" si="3"/>
        <v>9.3831828448225583</v>
      </c>
    </row>
    <row r="129" spans="18:19" x14ac:dyDescent="0.35">
      <c r="R129" s="3">
        <v>127</v>
      </c>
      <c r="S129" s="7">
        <f t="shared" ca="1" si="3"/>
        <v>8.4018459621271209</v>
      </c>
    </row>
    <row r="130" spans="18:19" x14ac:dyDescent="0.35">
      <c r="R130" s="3">
        <v>128</v>
      </c>
      <c r="S130" s="7">
        <f t="shared" ca="1" si="3"/>
        <v>8.4450040464746046</v>
      </c>
    </row>
    <row r="131" spans="18:19" x14ac:dyDescent="0.35">
      <c r="R131" s="3">
        <v>129</v>
      </c>
      <c r="S131" s="7">
        <f t="shared" ca="1" si="3"/>
        <v>8.7090619824237248</v>
      </c>
    </row>
    <row r="132" spans="18:19" x14ac:dyDescent="0.35">
      <c r="R132" s="3">
        <v>130</v>
      </c>
      <c r="S132" s="7">
        <f t="shared" ca="1" si="3"/>
        <v>4.2215214293527525</v>
      </c>
    </row>
    <row r="133" spans="18:19" x14ac:dyDescent="0.35">
      <c r="R133" s="3">
        <v>131</v>
      </c>
      <c r="S133" s="7">
        <f t="shared" ref="S133:S196" ca="1" si="4">_xlfn.CHISQ.INV(RAND(),C$3)</f>
        <v>15.994764561097471</v>
      </c>
    </row>
    <row r="134" spans="18:19" x14ac:dyDescent="0.35">
      <c r="R134" s="3">
        <v>132</v>
      </c>
      <c r="S134" s="7">
        <f t="shared" ca="1" si="4"/>
        <v>13.106950490210572</v>
      </c>
    </row>
    <row r="135" spans="18:19" x14ac:dyDescent="0.35">
      <c r="R135" s="3">
        <v>133</v>
      </c>
      <c r="S135" s="7">
        <f t="shared" ca="1" si="4"/>
        <v>14.151388859992169</v>
      </c>
    </row>
    <row r="136" spans="18:19" x14ac:dyDescent="0.35">
      <c r="R136" s="3">
        <v>134</v>
      </c>
      <c r="S136" s="7">
        <f t="shared" ca="1" si="4"/>
        <v>11.841014825224429</v>
      </c>
    </row>
    <row r="137" spans="18:19" x14ac:dyDescent="0.35">
      <c r="R137" s="3">
        <v>135</v>
      </c>
      <c r="S137" s="7">
        <f t="shared" ca="1" si="4"/>
        <v>6.079619315359599</v>
      </c>
    </row>
    <row r="138" spans="18:19" x14ac:dyDescent="0.35">
      <c r="R138" s="3">
        <v>136</v>
      </c>
      <c r="S138" s="7">
        <f t="shared" ca="1" si="4"/>
        <v>4.7062053099543233</v>
      </c>
    </row>
    <row r="139" spans="18:19" x14ac:dyDescent="0.35">
      <c r="R139" s="3">
        <v>137</v>
      </c>
      <c r="S139" s="7">
        <f t="shared" ca="1" si="4"/>
        <v>18.590093380775862</v>
      </c>
    </row>
    <row r="140" spans="18:19" x14ac:dyDescent="0.35">
      <c r="R140" s="3">
        <v>138</v>
      </c>
      <c r="S140" s="7">
        <f t="shared" ca="1" si="4"/>
        <v>2.8369545238622944</v>
      </c>
    </row>
    <row r="141" spans="18:19" x14ac:dyDescent="0.35">
      <c r="R141" s="3">
        <v>139</v>
      </c>
      <c r="S141" s="7">
        <f t="shared" ca="1" si="4"/>
        <v>9.5002265155628258</v>
      </c>
    </row>
    <row r="142" spans="18:19" x14ac:dyDescent="0.35">
      <c r="R142" s="3">
        <v>140</v>
      </c>
      <c r="S142" s="7">
        <f t="shared" ca="1" si="4"/>
        <v>5.7801200747824311</v>
      </c>
    </row>
    <row r="143" spans="18:19" x14ac:dyDescent="0.35">
      <c r="R143" s="3">
        <v>141</v>
      </c>
      <c r="S143" s="7">
        <f t="shared" ca="1" si="4"/>
        <v>8.5397383200196213</v>
      </c>
    </row>
    <row r="144" spans="18:19" x14ac:dyDescent="0.35">
      <c r="R144" s="3">
        <v>142</v>
      </c>
      <c r="S144" s="7">
        <f t="shared" ca="1" si="4"/>
        <v>8.5554052215131158</v>
      </c>
    </row>
    <row r="145" spans="18:19" x14ac:dyDescent="0.35">
      <c r="R145" s="3">
        <v>143</v>
      </c>
      <c r="S145" s="7">
        <f t="shared" ca="1" si="4"/>
        <v>11.454973141994868</v>
      </c>
    </row>
    <row r="146" spans="18:19" x14ac:dyDescent="0.35">
      <c r="R146" s="3">
        <v>144</v>
      </c>
      <c r="S146" s="7">
        <f t="shared" ca="1" si="4"/>
        <v>9.5275578641550887</v>
      </c>
    </row>
    <row r="147" spans="18:19" x14ac:dyDescent="0.35">
      <c r="R147" s="3">
        <v>145</v>
      </c>
      <c r="S147" s="7">
        <f t="shared" ca="1" si="4"/>
        <v>13.474552813835823</v>
      </c>
    </row>
    <row r="148" spans="18:19" x14ac:dyDescent="0.35">
      <c r="R148" s="3">
        <v>146</v>
      </c>
      <c r="S148" s="7">
        <f t="shared" ca="1" si="4"/>
        <v>6.0529715027246249</v>
      </c>
    </row>
    <row r="149" spans="18:19" x14ac:dyDescent="0.35">
      <c r="R149" s="3">
        <v>147</v>
      </c>
      <c r="S149" s="7">
        <f t="shared" ca="1" si="4"/>
        <v>6.2722447980065485</v>
      </c>
    </row>
    <row r="150" spans="18:19" x14ac:dyDescent="0.35">
      <c r="R150" s="3">
        <v>148</v>
      </c>
      <c r="S150" s="7">
        <f t="shared" ca="1" si="4"/>
        <v>13.320603839947362</v>
      </c>
    </row>
    <row r="151" spans="18:19" x14ac:dyDescent="0.35">
      <c r="R151" s="3">
        <v>149</v>
      </c>
      <c r="S151" s="7">
        <f t="shared" ca="1" si="4"/>
        <v>6.8272122027109869</v>
      </c>
    </row>
    <row r="152" spans="18:19" x14ac:dyDescent="0.35">
      <c r="R152" s="3">
        <v>150</v>
      </c>
      <c r="S152" s="7">
        <f t="shared" ca="1" si="4"/>
        <v>12.842107280850824</v>
      </c>
    </row>
    <row r="153" spans="18:19" x14ac:dyDescent="0.35">
      <c r="R153" s="3">
        <v>151</v>
      </c>
      <c r="S153" s="7">
        <f t="shared" ca="1" si="4"/>
        <v>8.4837580909739856</v>
      </c>
    </row>
    <row r="154" spans="18:19" x14ac:dyDescent="0.35">
      <c r="R154" s="3">
        <v>152</v>
      </c>
      <c r="S154" s="7">
        <f t="shared" ca="1" si="4"/>
        <v>8.4847539796325009</v>
      </c>
    </row>
    <row r="155" spans="18:19" x14ac:dyDescent="0.35">
      <c r="R155" s="3">
        <v>153</v>
      </c>
      <c r="S155" s="7">
        <f t="shared" ca="1" si="4"/>
        <v>4.2517815588587249</v>
      </c>
    </row>
    <row r="156" spans="18:19" x14ac:dyDescent="0.35">
      <c r="R156" s="3">
        <v>154</v>
      </c>
      <c r="S156" s="7">
        <f t="shared" ca="1" si="4"/>
        <v>13.495554795896243</v>
      </c>
    </row>
    <row r="157" spans="18:19" x14ac:dyDescent="0.35">
      <c r="R157" s="3">
        <v>155</v>
      </c>
      <c r="S157" s="7">
        <f t="shared" ca="1" si="4"/>
        <v>10.076500009798313</v>
      </c>
    </row>
    <row r="158" spans="18:19" x14ac:dyDescent="0.35">
      <c r="R158" s="3">
        <v>156</v>
      </c>
      <c r="S158" s="7">
        <f t="shared" ca="1" si="4"/>
        <v>11.589915375868447</v>
      </c>
    </row>
    <row r="159" spans="18:19" x14ac:dyDescent="0.35">
      <c r="R159" s="3">
        <v>157</v>
      </c>
      <c r="S159" s="7">
        <f t="shared" ca="1" si="4"/>
        <v>5.0367920991050683</v>
      </c>
    </row>
    <row r="160" spans="18:19" x14ac:dyDescent="0.35">
      <c r="R160" s="3">
        <v>158</v>
      </c>
      <c r="S160" s="7">
        <f t="shared" ca="1" si="4"/>
        <v>8.4410791362974447</v>
      </c>
    </row>
    <row r="161" spans="18:19" x14ac:dyDescent="0.35">
      <c r="R161" s="3">
        <v>159</v>
      </c>
      <c r="S161" s="7">
        <f t="shared" ca="1" si="4"/>
        <v>5.3385818341408839</v>
      </c>
    </row>
    <row r="162" spans="18:19" x14ac:dyDescent="0.35">
      <c r="R162" s="3">
        <v>160</v>
      </c>
      <c r="S162" s="7">
        <f t="shared" ca="1" si="4"/>
        <v>17.066909354917946</v>
      </c>
    </row>
    <row r="163" spans="18:19" x14ac:dyDescent="0.35">
      <c r="R163" s="3">
        <v>161</v>
      </c>
      <c r="S163" s="7">
        <f t="shared" ca="1" si="4"/>
        <v>14.887889279690398</v>
      </c>
    </row>
    <row r="164" spans="18:19" x14ac:dyDescent="0.35">
      <c r="R164" s="3">
        <v>162</v>
      </c>
      <c r="S164" s="7">
        <f t="shared" ca="1" si="4"/>
        <v>5.3684818261046665</v>
      </c>
    </row>
    <row r="165" spans="18:19" x14ac:dyDescent="0.35">
      <c r="R165" s="3">
        <v>163</v>
      </c>
      <c r="S165" s="7">
        <f t="shared" ca="1" si="4"/>
        <v>10.673884832772043</v>
      </c>
    </row>
    <row r="166" spans="18:19" x14ac:dyDescent="0.35">
      <c r="R166" s="3">
        <v>164</v>
      </c>
      <c r="S166" s="7">
        <f t="shared" ca="1" si="4"/>
        <v>11.09138191311207</v>
      </c>
    </row>
    <row r="167" spans="18:19" x14ac:dyDescent="0.35">
      <c r="R167" s="3">
        <v>165</v>
      </c>
      <c r="S167" s="7">
        <f t="shared" ca="1" si="4"/>
        <v>6.3592836797918286</v>
      </c>
    </row>
    <row r="168" spans="18:19" x14ac:dyDescent="0.35">
      <c r="R168" s="3">
        <v>166</v>
      </c>
      <c r="S168" s="7">
        <f t="shared" ca="1" si="4"/>
        <v>8.3573674557040718</v>
      </c>
    </row>
    <row r="169" spans="18:19" x14ac:dyDescent="0.35">
      <c r="R169" s="3">
        <v>167</v>
      </c>
      <c r="S169" s="7">
        <f t="shared" ca="1" si="4"/>
        <v>8.4096525893007801</v>
      </c>
    </row>
    <row r="170" spans="18:19" x14ac:dyDescent="0.35">
      <c r="R170" s="3">
        <v>168</v>
      </c>
      <c r="S170" s="7">
        <f t="shared" ca="1" si="4"/>
        <v>7.8178249123967234</v>
      </c>
    </row>
    <row r="171" spans="18:19" x14ac:dyDescent="0.35">
      <c r="R171" s="3">
        <v>169</v>
      </c>
      <c r="S171" s="7">
        <f t="shared" ca="1" si="4"/>
        <v>14.2430323338516</v>
      </c>
    </row>
    <row r="172" spans="18:19" x14ac:dyDescent="0.35">
      <c r="R172" s="3">
        <v>170</v>
      </c>
      <c r="S172" s="7">
        <f t="shared" ca="1" si="4"/>
        <v>11.058700101177815</v>
      </c>
    </row>
    <row r="173" spans="18:19" x14ac:dyDescent="0.35">
      <c r="R173" s="3">
        <v>171</v>
      </c>
      <c r="S173" s="7">
        <f t="shared" ca="1" si="4"/>
        <v>12.5351906177168</v>
      </c>
    </row>
    <row r="174" spans="18:19" x14ac:dyDescent="0.35">
      <c r="R174" s="3">
        <v>172</v>
      </c>
      <c r="S174" s="7">
        <f t="shared" ca="1" si="4"/>
        <v>6.1179329141731182</v>
      </c>
    </row>
    <row r="175" spans="18:19" x14ac:dyDescent="0.35">
      <c r="R175" s="3">
        <v>173</v>
      </c>
      <c r="S175" s="7">
        <f t="shared" ca="1" si="4"/>
        <v>10.789062476940293</v>
      </c>
    </row>
    <row r="176" spans="18:19" x14ac:dyDescent="0.35">
      <c r="R176" s="3">
        <v>174</v>
      </c>
      <c r="S176" s="7">
        <f t="shared" ca="1" si="4"/>
        <v>9.6917586277580092</v>
      </c>
    </row>
    <row r="177" spans="18:19" x14ac:dyDescent="0.35">
      <c r="R177" s="3">
        <v>175</v>
      </c>
      <c r="S177" s="7">
        <f t="shared" ca="1" si="4"/>
        <v>8.0847970408998773</v>
      </c>
    </row>
    <row r="178" spans="18:19" x14ac:dyDescent="0.35">
      <c r="R178" s="3">
        <v>176</v>
      </c>
      <c r="S178" s="7">
        <f t="shared" ca="1" si="4"/>
        <v>15.115444465366361</v>
      </c>
    </row>
    <row r="179" spans="18:19" x14ac:dyDescent="0.35">
      <c r="R179" s="3">
        <v>177</v>
      </c>
      <c r="S179" s="7">
        <f t="shared" ca="1" si="4"/>
        <v>9.0959965955147304</v>
      </c>
    </row>
    <row r="180" spans="18:19" x14ac:dyDescent="0.35">
      <c r="R180" s="3">
        <v>178</v>
      </c>
      <c r="S180" s="7">
        <f t="shared" ca="1" si="4"/>
        <v>10.378809361372452</v>
      </c>
    </row>
    <row r="181" spans="18:19" x14ac:dyDescent="0.35">
      <c r="R181" s="3">
        <v>179</v>
      </c>
      <c r="S181" s="7">
        <f t="shared" ca="1" si="4"/>
        <v>19.226572487371115</v>
      </c>
    </row>
    <row r="182" spans="18:19" x14ac:dyDescent="0.35">
      <c r="R182" s="3">
        <v>180</v>
      </c>
      <c r="S182" s="7">
        <f t="shared" ca="1" si="4"/>
        <v>6.0049320021947077</v>
      </c>
    </row>
    <row r="183" spans="18:19" x14ac:dyDescent="0.35">
      <c r="R183" s="3">
        <v>181</v>
      </c>
      <c r="S183" s="7">
        <f t="shared" ca="1" si="4"/>
        <v>8.3761816969187048</v>
      </c>
    </row>
    <row r="184" spans="18:19" x14ac:dyDescent="0.35">
      <c r="R184" s="3">
        <v>182</v>
      </c>
      <c r="S184" s="7">
        <f t="shared" ca="1" si="4"/>
        <v>9.2000404786933849</v>
      </c>
    </row>
    <row r="185" spans="18:19" x14ac:dyDescent="0.35">
      <c r="R185" s="3">
        <v>183</v>
      </c>
      <c r="S185" s="7">
        <f t="shared" ca="1" si="4"/>
        <v>7.5236600186916318</v>
      </c>
    </row>
    <row r="186" spans="18:19" x14ac:dyDescent="0.35">
      <c r="R186" s="3">
        <v>184</v>
      </c>
      <c r="S186" s="7">
        <f t="shared" ca="1" si="4"/>
        <v>19.622551682189531</v>
      </c>
    </row>
    <row r="187" spans="18:19" x14ac:dyDescent="0.35">
      <c r="R187" s="3">
        <v>185</v>
      </c>
      <c r="S187" s="7">
        <f t="shared" ca="1" si="4"/>
        <v>10.420471682601162</v>
      </c>
    </row>
    <row r="188" spans="18:19" x14ac:dyDescent="0.35">
      <c r="R188" s="3">
        <v>186</v>
      </c>
      <c r="S188" s="7">
        <f t="shared" ca="1" si="4"/>
        <v>15.541706652167091</v>
      </c>
    </row>
    <row r="189" spans="18:19" x14ac:dyDescent="0.35">
      <c r="R189" s="3">
        <v>187</v>
      </c>
      <c r="S189" s="7">
        <f t="shared" ca="1" si="4"/>
        <v>7.5894401009967023</v>
      </c>
    </row>
    <row r="190" spans="18:19" x14ac:dyDescent="0.35">
      <c r="R190" s="3">
        <v>188</v>
      </c>
      <c r="S190" s="7">
        <f t="shared" ca="1" si="4"/>
        <v>15.260745748675868</v>
      </c>
    </row>
    <row r="191" spans="18:19" x14ac:dyDescent="0.35">
      <c r="R191" s="3">
        <v>189</v>
      </c>
      <c r="S191" s="7">
        <f t="shared" ca="1" si="4"/>
        <v>15.629813721783835</v>
      </c>
    </row>
    <row r="192" spans="18:19" x14ac:dyDescent="0.35">
      <c r="R192" s="3">
        <v>190</v>
      </c>
      <c r="S192" s="7">
        <f t="shared" ca="1" si="4"/>
        <v>9.6266929374048615</v>
      </c>
    </row>
    <row r="193" spans="18:19" x14ac:dyDescent="0.35">
      <c r="R193" s="3">
        <v>191</v>
      </c>
      <c r="S193" s="7">
        <f t="shared" ca="1" si="4"/>
        <v>5.4142700032039563</v>
      </c>
    </row>
    <row r="194" spans="18:19" x14ac:dyDescent="0.35">
      <c r="R194" s="3">
        <v>192</v>
      </c>
      <c r="S194" s="7">
        <f t="shared" ca="1" si="4"/>
        <v>10.279911628587383</v>
      </c>
    </row>
    <row r="195" spans="18:19" x14ac:dyDescent="0.35">
      <c r="R195" s="3">
        <v>193</v>
      </c>
      <c r="S195" s="7">
        <f t="shared" ca="1" si="4"/>
        <v>9.8904884673235109</v>
      </c>
    </row>
    <row r="196" spans="18:19" x14ac:dyDescent="0.35">
      <c r="R196" s="3">
        <v>194</v>
      </c>
      <c r="S196" s="7">
        <f t="shared" ca="1" si="4"/>
        <v>15.349937810998238</v>
      </c>
    </row>
    <row r="197" spans="18:19" x14ac:dyDescent="0.35">
      <c r="R197" s="3">
        <v>195</v>
      </c>
      <c r="S197" s="7">
        <f t="shared" ref="S197:S260" ca="1" si="5">_xlfn.CHISQ.INV(RAND(),C$3)</f>
        <v>8.7499844210992173</v>
      </c>
    </row>
    <row r="198" spans="18:19" x14ac:dyDescent="0.35">
      <c r="R198" s="3">
        <v>196</v>
      </c>
      <c r="S198" s="7">
        <f t="shared" ca="1" si="5"/>
        <v>4.1740324772139417</v>
      </c>
    </row>
    <row r="199" spans="18:19" x14ac:dyDescent="0.35">
      <c r="R199" s="3">
        <v>197</v>
      </c>
      <c r="S199" s="7">
        <f t="shared" ca="1" si="5"/>
        <v>7.7619209603820067</v>
      </c>
    </row>
    <row r="200" spans="18:19" x14ac:dyDescent="0.35">
      <c r="R200" s="3">
        <v>198</v>
      </c>
      <c r="S200" s="7">
        <f t="shared" ca="1" si="5"/>
        <v>9.0550558783041044</v>
      </c>
    </row>
    <row r="201" spans="18:19" x14ac:dyDescent="0.35">
      <c r="R201" s="3">
        <v>199</v>
      </c>
      <c r="S201" s="7">
        <f t="shared" ca="1" si="5"/>
        <v>9.3319210662253749</v>
      </c>
    </row>
    <row r="202" spans="18:19" x14ac:dyDescent="0.35">
      <c r="R202" s="3">
        <v>200</v>
      </c>
      <c r="S202" s="7">
        <f t="shared" ca="1" si="5"/>
        <v>14.00994338175121</v>
      </c>
    </row>
    <row r="203" spans="18:19" x14ac:dyDescent="0.35">
      <c r="R203" s="3">
        <v>201</v>
      </c>
      <c r="S203" s="7">
        <f t="shared" ca="1" si="5"/>
        <v>5.4189811514137203</v>
      </c>
    </row>
    <row r="204" spans="18:19" x14ac:dyDescent="0.35">
      <c r="R204" s="3">
        <v>202</v>
      </c>
      <c r="S204" s="7">
        <f t="shared" ca="1" si="5"/>
        <v>4.3007279360376254</v>
      </c>
    </row>
    <row r="205" spans="18:19" x14ac:dyDescent="0.35">
      <c r="R205" s="3">
        <v>203</v>
      </c>
      <c r="S205" s="7">
        <f t="shared" ca="1" si="5"/>
        <v>10.23614116210379</v>
      </c>
    </row>
    <row r="206" spans="18:19" x14ac:dyDescent="0.35">
      <c r="R206" s="3">
        <v>204</v>
      </c>
      <c r="S206" s="7">
        <f t="shared" ca="1" si="5"/>
        <v>7.4529699674422565</v>
      </c>
    </row>
    <row r="207" spans="18:19" x14ac:dyDescent="0.35">
      <c r="R207" s="3">
        <v>205</v>
      </c>
      <c r="S207" s="7">
        <f t="shared" ca="1" si="5"/>
        <v>15.735007208095043</v>
      </c>
    </row>
    <row r="208" spans="18:19" x14ac:dyDescent="0.35">
      <c r="R208" s="3">
        <v>206</v>
      </c>
      <c r="S208" s="7">
        <f t="shared" ca="1" si="5"/>
        <v>10.029869488533867</v>
      </c>
    </row>
    <row r="209" spans="18:19" x14ac:dyDescent="0.35">
      <c r="R209" s="3">
        <v>207</v>
      </c>
      <c r="S209" s="7">
        <f t="shared" ca="1" si="5"/>
        <v>4.009932122311584</v>
      </c>
    </row>
    <row r="210" spans="18:19" x14ac:dyDescent="0.35">
      <c r="R210" s="3">
        <v>208</v>
      </c>
      <c r="S210" s="7">
        <f t="shared" ca="1" si="5"/>
        <v>4.4972830827806938</v>
      </c>
    </row>
    <row r="211" spans="18:19" x14ac:dyDescent="0.35">
      <c r="R211" s="3">
        <v>209</v>
      </c>
      <c r="S211" s="7">
        <f t="shared" ca="1" si="5"/>
        <v>9.8760233410373957</v>
      </c>
    </row>
    <row r="212" spans="18:19" x14ac:dyDescent="0.35">
      <c r="R212" s="3">
        <v>210</v>
      </c>
      <c r="S212" s="7">
        <f t="shared" ca="1" si="5"/>
        <v>9.2916573302021739</v>
      </c>
    </row>
    <row r="213" spans="18:19" x14ac:dyDescent="0.35">
      <c r="R213" s="3">
        <v>211</v>
      </c>
      <c r="S213" s="7">
        <f t="shared" ca="1" si="5"/>
        <v>15.793917065564697</v>
      </c>
    </row>
    <row r="214" spans="18:19" x14ac:dyDescent="0.35">
      <c r="R214" s="3">
        <v>212</v>
      </c>
      <c r="S214" s="7">
        <f t="shared" ca="1" si="5"/>
        <v>10.793208882172184</v>
      </c>
    </row>
    <row r="215" spans="18:19" x14ac:dyDescent="0.35">
      <c r="R215" s="3">
        <v>213</v>
      </c>
      <c r="S215" s="7">
        <f t="shared" ca="1" si="5"/>
        <v>17.047791694223527</v>
      </c>
    </row>
    <row r="216" spans="18:19" x14ac:dyDescent="0.35">
      <c r="R216" s="3">
        <v>214</v>
      </c>
      <c r="S216" s="7">
        <f t="shared" ca="1" si="5"/>
        <v>7.5381510042505591</v>
      </c>
    </row>
    <row r="217" spans="18:19" x14ac:dyDescent="0.35">
      <c r="R217" s="3">
        <v>215</v>
      </c>
      <c r="S217" s="7">
        <f t="shared" ca="1" si="5"/>
        <v>7.8867515394740719</v>
      </c>
    </row>
    <row r="218" spans="18:19" x14ac:dyDescent="0.35">
      <c r="R218" s="3">
        <v>216</v>
      </c>
      <c r="S218" s="7">
        <f t="shared" ca="1" si="5"/>
        <v>7.9750098024328535</v>
      </c>
    </row>
    <row r="219" spans="18:19" x14ac:dyDescent="0.35">
      <c r="R219" s="3">
        <v>217</v>
      </c>
      <c r="S219" s="7">
        <f t="shared" ca="1" si="5"/>
        <v>3.7937076412109421</v>
      </c>
    </row>
    <row r="220" spans="18:19" x14ac:dyDescent="0.35">
      <c r="R220" s="3">
        <v>218</v>
      </c>
      <c r="S220" s="7">
        <f t="shared" ca="1" si="5"/>
        <v>13.350913356448027</v>
      </c>
    </row>
    <row r="221" spans="18:19" x14ac:dyDescent="0.35">
      <c r="R221" s="3">
        <v>219</v>
      </c>
      <c r="S221" s="7">
        <f t="shared" ca="1" si="5"/>
        <v>7.199263781969294</v>
      </c>
    </row>
    <row r="222" spans="18:19" x14ac:dyDescent="0.35">
      <c r="R222" s="3">
        <v>220</v>
      </c>
      <c r="S222" s="7">
        <f t="shared" ca="1" si="5"/>
        <v>5.6935105902666754</v>
      </c>
    </row>
    <row r="223" spans="18:19" x14ac:dyDescent="0.35">
      <c r="R223" s="3">
        <v>221</v>
      </c>
      <c r="S223" s="7">
        <f t="shared" ca="1" si="5"/>
        <v>18.849339823748256</v>
      </c>
    </row>
    <row r="224" spans="18:19" x14ac:dyDescent="0.35">
      <c r="R224" s="3">
        <v>222</v>
      </c>
      <c r="S224" s="7">
        <f t="shared" ca="1" si="5"/>
        <v>22.715155799706007</v>
      </c>
    </row>
    <row r="225" spans="18:19" x14ac:dyDescent="0.35">
      <c r="R225" s="3">
        <v>223</v>
      </c>
      <c r="S225" s="7">
        <f t="shared" ca="1" si="5"/>
        <v>7.4709482082743399</v>
      </c>
    </row>
    <row r="226" spans="18:19" x14ac:dyDescent="0.35">
      <c r="R226" s="3">
        <v>224</v>
      </c>
      <c r="S226" s="7">
        <f t="shared" ca="1" si="5"/>
        <v>6.634443869261359</v>
      </c>
    </row>
    <row r="227" spans="18:19" x14ac:dyDescent="0.35">
      <c r="R227" s="3">
        <v>225</v>
      </c>
      <c r="S227" s="7">
        <f t="shared" ca="1" si="5"/>
        <v>11.520998214390527</v>
      </c>
    </row>
    <row r="228" spans="18:19" x14ac:dyDescent="0.35">
      <c r="R228" s="3">
        <v>226</v>
      </c>
      <c r="S228" s="7">
        <f t="shared" ca="1" si="5"/>
        <v>10.056614746505559</v>
      </c>
    </row>
    <row r="229" spans="18:19" x14ac:dyDescent="0.35">
      <c r="R229" s="3">
        <v>227</v>
      </c>
      <c r="S229" s="7">
        <f t="shared" ca="1" si="5"/>
        <v>16.499636715136454</v>
      </c>
    </row>
    <row r="230" spans="18:19" x14ac:dyDescent="0.35">
      <c r="R230" s="3">
        <v>228</v>
      </c>
      <c r="S230" s="7">
        <f t="shared" ca="1" si="5"/>
        <v>5.549556886660417</v>
      </c>
    </row>
    <row r="231" spans="18:19" x14ac:dyDescent="0.35">
      <c r="R231" s="3">
        <v>229</v>
      </c>
      <c r="S231" s="7">
        <f t="shared" ca="1" si="5"/>
        <v>5.6241972825680291</v>
      </c>
    </row>
    <row r="232" spans="18:19" x14ac:dyDescent="0.35">
      <c r="R232" s="3">
        <v>230</v>
      </c>
      <c r="S232" s="7">
        <f t="shared" ca="1" si="5"/>
        <v>9.9398853571093806</v>
      </c>
    </row>
    <row r="233" spans="18:19" x14ac:dyDescent="0.35">
      <c r="R233" s="3">
        <v>231</v>
      </c>
      <c r="S233" s="7">
        <f t="shared" ca="1" si="5"/>
        <v>5.2308634989497484</v>
      </c>
    </row>
    <row r="234" spans="18:19" x14ac:dyDescent="0.35">
      <c r="R234" s="3">
        <v>232</v>
      </c>
      <c r="S234" s="7">
        <f t="shared" ca="1" si="5"/>
        <v>9.1255158993958876</v>
      </c>
    </row>
    <row r="235" spans="18:19" x14ac:dyDescent="0.35">
      <c r="R235" s="3">
        <v>233</v>
      </c>
      <c r="S235" s="7">
        <f t="shared" ca="1" si="5"/>
        <v>2.8902437532012897</v>
      </c>
    </row>
    <row r="236" spans="18:19" x14ac:dyDescent="0.35">
      <c r="R236" s="3">
        <v>234</v>
      </c>
      <c r="S236" s="7">
        <f t="shared" ca="1" si="5"/>
        <v>11.872289776991275</v>
      </c>
    </row>
    <row r="237" spans="18:19" x14ac:dyDescent="0.35">
      <c r="R237" s="3">
        <v>235</v>
      </c>
      <c r="S237" s="7">
        <f t="shared" ca="1" si="5"/>
        <v>18.235608318551741</v>
      </c>
    </row>
    <row r="238" spans="18:19" x14ac:dyDescent="0.35">
      <c r="R238" s="3">
        <v>236</v>
      </c>
      <c r="S238" s="7">
        <f t="shared" ca="1" si="5"/>
        <v>14.223194199387464</v>
      </c>
    </row>
    <row r="239" spans="18:19" x14ac:dyDescent="0.35">
      <c r="R239" s="3">
        <v>237</v>
      </c>
      <c r="S239" s="7">
        <f t="shared" ca="1" si="5"/>
        <v>10.043690514571507</v>
      </c>
    </row>
    <row r="240" spans="18:19" x14ac:dyDescent="0.35">
      <c r="R240" s="3">
        <v>238</v>
      </c>
      <c r="S240" s="7">
        <f t="shared" ca="1" si="5"/>
        <v>16.004107265538376</v>
      </c>
    </row>
    <row r="241" spans="18:19" x14ac:dyDescent="0.35">
      <c r="R241" s="3">
        <v>239</v>
      </c>
      <c r="S241" s="7">
        <f t="shared" ca="1" si="5"/>
        <v>10.957558881355347</v>
      </c>
    </row>
    <row r="242" spans="18:19" x14ac:dyDescent="0.35">
      <c r="R242" s="3">
        <v>240</v>
      </c>
      <c r="S242" s="7">
        <f t="shared" ca="1" si="5"/>
        <v>7.8127671912188852</v>
      </c>
    </row>
    <row r="243" spans="18:19" x14ac:dyDescent="0.35">
      <c r="R243" s="3">
        <v>241</v>
      </c>
      <c r="S243" s="7">
        <f t="shared" ca="1" si="5"/>
        <v>10.008392291402613</v>
      </c>
    </row>
    <row r="244" spans="18:19" x14ac:dyDescent="0.35">
      <c r="R244" s="3">
        <v>242</v>
      </c>
      <c r="S244" s="7">
        <f t="shared" ca="1" si="5"/>
        <v>12.808986217901511</v>
      </c>
    </row>
    <row r="245" spans="18:19" x14ac:dyDescent="0.35">
      <c r="R245" s="3">
        <v>243</v>
      </c>
      <c r="S245" s="7">
        <f t="shared" ca="1" si="5"/>
        <v>8.1406174291342115</v>
      </c>
    </row>
    <row r="246" spans="18:19" x14ac:dyDescent="0.35">
      <c r="R246" s="3">
        <v>244</v>
      </c>
      <c r="S246" s="7">
        <f t="shared" ca="1" si="5"/>
        <v>12.950294346883261</v>
      </c>
    </row>
    <row r="247" spans="18:19" x14ac:dyDescent="0.35">
      <c r="R247" s="3">
        <v>245</v>
      </c>
      <c r="S247" s="7">
        <f t="shared" ca="1" si="5"/>
        <v>3.6064543073133231</v>
      </c>
    </row>
    <row r="248" spans="18:19" x14ac:dyDescent="0.35">
      <c r="R248" s="3">
        <v>246</v>
      </c>
      <c r="S248" s="7">
        <f t="shared" ca="1" si="5"/>
        <v>17.469589637868566</v>
      </c>
    </row>
    <row r="249" spans="18:19" x14ac:dyDescent="0.35">
      <c r="R249" s="3">
        <v>247</v>
      </c>
      <c r="S249" s="7">
        <f t="shared" ca="1" si="5"/>
        <v>14.237681662163309</v>
      </c>
    </row>
    <row r="250" spans="18:19" x14ac:dyDescent="0.35">
      <c r="R250" s="3">
        <v>248</v>
      </c>
      <c r="S250" s="7">
        <f t="shared" ca="1" si="5"/>
        <v>10.435538658518059</v>
      </c>
    </row>
    <row r="251" spans="18:19" x14ac:dyDescent="0.35">
      <c r="R251" s="3">
        <v>249</v>
      </c>
      <c r="S251" s="7">
        <f t="shared" ca="1" si="5"/>
        <v>6.3883604123461639</v>
      </c>
    </row>
    <row r="252" spans="18:19" x14ac:dyDescent="0.35">
      <c r="R252" s="3">
        <v>250</v>
      </c>
      <c r="S252" s="7">
        <f t="shared" ca="1" si="5"/>
        <v>13.288235751523173</v>
      </c>
    </row>
    <row r="253" spans="18:19" x14ac:dyDescent="0.35">
      <c r="R253" s="3">
        <v>251</v>
      </c>
      <c r="S253" s="7">
        <f t="shared" ca="1" si="5"/>
        <v>9.2991668937568424</v>
      </c>
    </row>
    <row r="254" spans="18:19" x14ac:dyDescent="0.35">
      <c r="R254" s="3">
        <v>252</v>
      </c>
      <c r="S254" s="7">
        <f t="shared" ca="1" si="5"/>
        <v>8.0100610996970438</v>
      </c>
    </row>
    <row r="255" spans="18:19" x14ac:dyDescent="0.35">
      <c r="R255" s="3">
        <v>253</v>
      </c>
      <c r="S255" s="7">
        <f t="shared" ca="1" si="5"/>
        <v>3.5480120900319623</v>
      </c>
    </row>
    <row r="256" spans="18:19" x14ac:dyDescent="0.35">
      <c r="R256" s="3">
        <v>254</v>
      </c>
      <c r="S256" s="7">
        <f t="shared" ca="1" si="5"/>
        <v>5.5407389255118229</v>
      </c>
    </row>
    <row r="257" spans="18:19" x14ac:dyDescent="0.35">
      <c r="R257" s="3">
        <v>255</v>
      </c>
      <c r="S257" s="7">
        <f t="shared" ca="1" si="5"/>
        <v>11.664131110315088</v>
      </c>
    </row>
    <row r="258" spans="18:19" x14ac:dyDescent="0.35">
      <c r="R258" s="3">
        <v>256</v>
      </c>
      <c r="S258" s="7">
        <f t="shared" ca="1" si="5"/>
        <v>9.8734845519614201</v>
      </c>
    </row>
    <row r="259" spans="18:19" x14ac:dyDescent="0.35">
      <c r="R259" s="3">
        <v>257</v>
      </c>
      <c r="S259" s="7">
        <f t="shared" ca="1" si="5"/>
        <v>12.916639224646858</v>
      </c>
    </row>
    <row r="260" spans="18:19" x14ac:dyDescent="0.35">
      <c r="R260" s="3">
        <v>258</v>
      </c>
      <c r="S260" s="7">
        <f t="shared" ca="1" si="5"/>
        <v>10.55288151994124</v>
      </c>
    </row>
    <row r="261" spans="18:19" x14ac:dyDescent="0.35">
      <c r="R261" s="3">
        <v>259</v>
      </c>
      <c r="S261" s="7">
        <f t="shared" ref="S261:S324" ca="1" si="6">_xlfn.CHISQ.INV(RAND(),C$3)</f>
        <v>6.0574392883362549</v>
      </c>
    </row>
    <row r="262" spans="18:19" x14ac:dyDescent="0.35">
      <c r="R262" s="3">
        <v>260</v>
      </c>
      <c r="S262" s="7">
        <f t="shared" ca="1" si="6"/>
        <v>14.596780379123713</v>
      </c>
    </row>
    <row r="263" spans="18:19" x14ac:dyDescent="0.35">
      <c r="R263" s="3">
        <v>261</v>
      </c>
      <c r="S263" s="7">
        <f t="shared" ca="1" si="6"/>
        <v>4.3620970653909232</v>
      </c>
    </row>
    <row r="264" spans="18:19" x14ac:dyDescent="0.35">
      <c r="R264" s="3">
        <v>262</v>
      </c>
      <c r="S264" s="7">
        <f t="shared" ca="1" si="6"/>
        <v>9.9051831034271309</v>
      </c>
    </row>
    <row r="265" spans="18:19" x14ac:dyDescent="0.35">
      <c r="R265" s="3">
        <v>263</v>
      </c>
      <c r="S265" s="7">
        <f t="shared" ca="1" si="6"/>
        <v>11.804149659161173</v>
      </c>
    </row>
    <row r="266" spans="18:19" x14ac:dyDescent="0.35">
      <c r="R266" s="3">
        <v>264</v>
      </c>
      <c r="S266" s="7">
        <f t="shared" ca="1" si="6"/>
        <v>19.928409105815799</v>
      </c>
    </row>
    <row r="267" spans="18:19" x14ac:dyDescent="0.35">
      <c r="R267" s="3">
        <v>265</v>
      </c>
      <c r="S267" s="7">
        <f t="shared" ca="1" si="6"/>
        <v>16.470230735172294</v>
      </c>
    </row>
    <row r="268" spans="18:19" x14ac:dyDescent="0.35">
      <c r="R268" s="3">
        <v>266</v>
      </c>
      <c r="S268" s="7">
        <f t="shared" ca="1" si="6"/>
        <v>18.820358714667741</v>
      </c>
    </row>
    <row r="269" spans="18:19" x14ac:dyDescent="0.35">
      <c r="R269" s="3">
        <v>267</v>
      </c>
      <c r="S269" s="7">
        <f t="shared" ca="1" si="6"/>
        <v>8.481950505141528</v>
      </c>
    </row>
    <row r="270" spans="18:19" x14ac:dyDescent="0.35">
      <c r="R270" s="3">
        <v>268</v>
      </c>
      <c r="S270" s="7">
        <f t="shared" ca="1" si="6"/>
        <v>2.9752792916518955</v>
      </c>
    </row>
    <row r="271" spans="18:19" x14ac:dyDescent="0.35">
      <c r="R271" s="3">
        <v>269</v>
      </c>
      <c r="S271" s="7">
        <f t="shared" ca="1" si="6"/>
        <v>5.4181733384412905</v>
      </c>
    </row>
    <row r="272" spans="18:19" x14ac:dyDescent="0.35">
      <c r="R272" s="3">
        <v>270</v>
      </c>
      <c r="S272" s="7">
        <f t="shared" ca="1" si="6"/>
        <v>5.6067362927474793</v>
      </c>
    </row>
    <row r="273" spans="18:19" x14ac:dyDescent="0.35">
      <c r="R273" s="3">
        <v>271</v>
      </c>
      <c r="S273" s="7">
        <f t="shared" ca="1" si="6"/>
        <v>21.501654291797497</v>
      </c>
    </row>
    <row r="274" spans="18:19" x14ac:dyDescent="0.35">
      <c r="R274" s="3">
        <v>272</v>
      </c>
      <c r="S274" s="7">
        <f t="shared" ca="1" si="6"/>
        <v>4.6001339891719253</v>
      </c>
    </row>
    <row r="275" spans="18:19" x14ac:dyDescent="0.35">
      <c r="R275" s="3">
        <v>273</v>
      </c>
      <c r="S275" s="7">
        <f t="shared" ca="1" si="6"/>
        <v>8.2501787752647804</v>
      </c>
    </row>
    <row r="276" spans="18:19" x14ac:dyDescent="0.35">
      <c r="R276" s="3">
        <v>274</v>
      </c>
      <c r="S276" s="7">
        <f t="shared" ca="1" si="6"/>
        <v>13.768861883483751</v>
      </c>
    </row>
    <row r="277" spans="18:19" x14ac:dyDescent="0.35">
      <c r="R277" s="3">
        <v>275</v>
      </c>
      <c r="S277" s="7">
        <f t="shared" ca="1" si="6"/>
        <v>13.387622025072977</v>
      </c>
    </row>
    <row r="278" spans="18:19" x14ac:dyDescent="0.35">
      <c r="R278" s="3">
        <v>276</v>
      </c>
      <c r="S278" s="7">
        <f t="shared" ca="1" si="6"/>
        <v>18.304244463711729</v>
      </c>
    </row>
    <row r="279" spans="18:19" x14ac:dyDescent="0.35">
      <c r="R279" s="3">
        <v>277</v>
      </c>
      <c r="S279" s="7">
        <f t="shared" ca="1" si="6"/>
        <v>17.3890630530639</v>
      </c>
    </row>
    <row r="280" spans="18:19" x14ac:dyDescent="0.35">
      <c r="R280" s="3">
        <v>278</v>
      </c>
      <c r="S280" s="7">
        <f t="shared" ca="1" si="6"/>
        <v>15.85527635396198</v>
      </c>
    </row>
    <row r="281" spans="18:19" x14ac:dyDescent="0.35">
      <c r="R281" s="3">
        <v>279</v>
      </c>
      <c r="S281" s="7">
        <f t="shared" ca="1" si="6"/>
        <v>2.100901491974883</v>
      </c>
    </row>
    <row r="282" spans="18:19" x14ac:dyDescent="0.35">
      <c r="R282" s="3">
        <v>280</v>
      </c>
      <c r="S282" s="7">
        <f t="shared" ca="1" si="6"/>
        <v>4.5110279474960793</v>
      </c>
    </row>
    <row r="283" spans="18:19" x14ac:dyDescent="0.35">
      <c r="R283" s="3">
        <v>281</v>
      </c>
      <c r="S283" s="7">
        <f t="shared" ca="1" si="6"/>
        <v>14.536630713476264</v>
      </c>
    </row>
    <row r="284" spans="18:19" x14ac:dyDescent="0.35">
      <c r="R284" s="3">
        <v>282</v>
      </c>
      <c r="S284" s="7">
        <f t="shared" ca="1" si="6"/>
        <v>7.7772049131012269</v>
      </c>
    </row>
    <row r="285" spans="18:19" x14ac:dyDescent="0.35">
      <c r="R285" s="3">
        <v>283</v>
      </c>
      <c r="S285" s="7">
        <f t="shared" ca="1" si="6"/>
        <v>2.1669423458442063</v>
      </c>
    </row>
    <row r="286" spans="18:19" x14ac:dyDescent="0.35">
      <c r="R286" s="3">
        <v>284</v>
      </c>
      <c r="S286" s="7">
        <f t="shared" ca="1" si="6"/>
        <v>14.701692092058973</v>
      </c>
    </row>
    <row r="287" spans="18:19" x14ac:dyDescent="0.35">
      <c r="R287" s="3">
        <v>285</v>
      </c>
      <c r="S287" s="7">
        <f t="shared" ca="1" si="6"/>
        <v>10.208101514194608</v>
      </c>
    </row>
    <row r="288" spans="18:19" x14ac:dyDescent="0.35">
      <c r="R288" s="3">
        <v>286</v>
      </c>
      <c r="S288" s="7">
        <f t="shared" ca="1" si="6"/>
        <v>17.663500587762883</v>
      </c>
    </row>
    <row r="289" spans="18:19" x14ac:dyDescent="0.35">
      <c r="R289" s="3">
        <v>287</v>
      </c>
      <c r="S289" s="7">
        <f t="shared" ca="1" si="6"/>
        <v>15.157685755160001</v>
      </c>
    </row>
    <row r="290" spans="18:19" x14ac:dyDescent="0.35">
      <c r="R290" s="3">
        <v>288</v>
      </c>
      <c r="S290" s="7">
        <f t="shared" ca="1" si="6"/>
        <v>8.3729890761956245</v>
      </c>
    </row>
    <row r="291" spans="18:19" x14ac:dyDescent="0.35">
      <c r="R291" s="3">
        <v>289</v>
      </c>
      <c r="S291" s="7">
        <f t="shared" ca="1" si="6"/>
        <v>10.107494949141371</v>
      </c>
    </row>
    <row r="292" spans="18:19" x14ac:dyDescent="0.35">
      <c r="R292" s="3">
        <v>290</v>
      </c>
      <c r="S292" s="7">
        <f t="shared" ca="1" si="6"/>
        <v>4.1925106696054915</v>
      </c>
    </row>
    <row r="293" spans="18:19" x14ac:dyDescent="0.35">
      <c r="R293" s="3">
        <v>291</v>
      </c>
      <c r="S293" s="7">
        <f t="shared" ca="1" si="6"/>
        <v>8.8544563041186546</v>
      </c>
    </row>
    <row r="294" spans="18:19" x14ac:dyDescent="0.35">
      <c r="R294" s="3">
        <v>292</v>
      </c>
      <c r="S294" s="7">
        <f t="shared" ca="1" si="6"/>
        <v>5.2295109287886596</v>
      </c>
    </row>
    <row r="295" spans="18:19" x14ac:dyDescent="0.35">
      <c r="R295" s="3">
        <v>293</v>
      </c>
      <c r="S295" s="7">
        <f t="shared" ca="1" si="6"/>
        <v>13.241634184508117</v>
      </c>
    </row>
    <row r="296" spans="18:19" x14ac:dyDescent="0.35">
      <c r="R296" s="3">
        <v>294</v>
      </c>
      <c r="S296" s="7">
        <f t="shared" ca="1" si="6"/>
        <v>10.951767197307452</v>
      </c>
    </row>
    <row r="297" spans="18:19" x14ac:dyDescent="0.35">
      <c r="R297" s="3">
        <v>295</v>
      </c>
      <c r="S297" s="7">
        <f t="shared" ca="1" si="6"/>
        <v>27.33664905231263</v>
      </c>
    </row>
    <row r="298" spans="18:19" x14ac:dyDescent="0.35">
      <c r="R298" s="3">
        <v>296</v>
      </c>
      <c r="S298" s="7">
        <f t="shared" ca="1" si="6"/>
        <v>9.0765513285039336</v>
      </c>
    </row>
    <row r="299" spans="18:19" x14ac:dyDescent="0.35">
      <c r="R299" s="3">
        <v>297</v>
      </c>
      <c r="S299" s="7">
        <f t="shared" ca="1" si="6"/>
        <v>10.153232540467473</v>
      </c>
    </row>
    <row r="300" spans="18:19" x14ac:dyDescent="0.35">
      <c r="R300" s="3">
        <v>298</v>
      </c>
      <c r="S300" s="7">
        <f t="shared" ca="1" si="6"/>
        <v>9.6220768109676502</v>
      </c>
    </row>
    <row r="301" spans="18:19" x14ac:dyDescent="0.35">
      <c r="R301" s="3">
        <v>299</v>
      </c>
      <c r="S301" s="7">
        <f t="shared" ca="1" si="6"/>
        <v>16.300343127869198</v>
      </c>
    </row>
    <row r="302" spans="18:19" x14ac:dyDescent="0.35">
      <c r="R302" s="3">
        <v>300</v>
      </c>
      <c r="S302" s="7">
        <f t="shared" ca="1" si="6"/>
        <v>6.8606453061478101</v>
      </c>
    </row>
    <row r="303" spans="18:19" x14ac:dyDescent="0.35">
      <c r="R303" s="3">
        <v>301</v>
      </c>
      <c r="S303" s="7">
        <f t="shared" ca="1" si="6"/>
        <v>8.3109779218026549</v>
      </c>
    </row>
    <row r="304" spans="18:19" x14ac:dyDescent="0.35">
      <c r="R304" s="3">
        <v>302</v>
      </c>
      <c r="S304" s="7">
        <f t="shared" ca="1" si="6"/>
        <v>9.4093581914668842</v>
      </c>
    </row>
    <row r="305" spans="18:19" x14ac:dyDescent="0.35">
      <c r="R305" s="3">
        <v>303</v>
      </c>
      <c r="S305" s="7">
        <f t="shared" ca="1" si="6"/>
        <v>15.541321955148216</v>
      </c>
    </row>
    <row r="306" spans="18:19" x14ac:dyDescent="0.35">
      <c r="R306" s="3">
        <v>304</v>
      </c>
      <c r="S306" s="7">
        <f t="shared" ca="1" si="6"/>
        <v>13.35032799243803</v>
      </c>
    </row>
    <row r="307" spans="18:19" x14ac:dyDescent="0.35">
      <c r="R307" s="3">
        <v>305</v>
      </c>
      <c r="S307" s="7">
        <f t="shared" ca="1" si="6"/>
        <v>13.311801937224077</v>
      </c>
    </row>
    <row r="308" spans="18:19" x14ac:dyDescent="0.35">
      <c r="R308" s="3">
        <v>306</v>
      </c>
      <c r="S308" s="7">
        <f t="shared" ca="1" si="6"/>
        <v>6.8145063999409441</v>
      </c>
    </row>
    <row r="309" spans="18:19" x14ac:dyDescent="0.35">
      <c r="R309" s="3">
        <v>307</v>
      </c>
      <c r="S309" s="7">
        <f t="shared" ca="1" si="6"/>
        <v>7.6616072140116254</v>
      </c>
    </row>
    <row r="310" spans="18:19" x14ac:dyDescent="0.35">
      <c r="R310" s="3">
        <v>308</v>
      </c>
      <c r="S310" s="7">
        <f t="shared" ca="1" si="6"/>
        <v>7.8600150677477858</v>
      </c>
    </row>
    <row r="311" spans="18:19" x14ac:dyDescent="0.35">
      <c r="R311" s="3">
        <v>309</v>
      </c>
      <c r="S311" s="7">
        <f t="shared" ca="1" si="6"/>
        <v>12.292399139320205</v>
      </c>
    </row>
    <row r="312" spans="18:19" x14ac:dyDescent="0.35">
      <c r="R312" s="3">
        <v>310</v>
      </c>
      <c r="S312" s="7">
        <f t="shared" ca="1" si="6"/>
        <v>17.208732933405127</v>
      </c>
    </row>
    <row r="313" spans="18:19" x14ac:dyDescent="0.35">
      <c r="R313" s="3">
        <v>311</v>
      </c>
      <c r="S313" s="7">
        <f t="shared" ca="1" si="6"/>
        <v>10.339517512499372</v>
      </c>
    </row>
    <row r="314" spans="18:19" x14ac:dyDescent="0.35">
      <c r="R314" s="3">
        <v>312</v>
      </c>
      <c r="S314" s="7">
        <f t="shared" ca="1" si="6"/>
        <v>4.0865764341731197</v>
      </c>
    </row>
    <row r="315" spans="18:19" x14ac:dyDescent="0.35">
      <c r="R315" s="3">
        <v>313</v>
      </c>
      <c r="S315" s="7">
        <f t="shared" ca="1" si="6"/>
        <v>18.006678840206511</v>
      </c>
    </row>
    <row r="316" spans="18:19" x14ac:dyDescent="0.35">
      <c r="R316" s="3">
        <v>314</v>
      </c>
      <c r="S316" s="7">
        <f t="shared" ca="1" si="6"/>
        <v>9.3041960888986726</v>
      </c>
    </row>
    <row r="317" spans="18:19" x14ac:dyDescent="0.35">
      <c r="R317" s="3">
        <v>315</v>
      </c>
      <c r="S317" s="7">
        <f t="shared" ca="1" si="6"/>
        <v>14.697455762461276</v>
      </c>
    </row>
    <row r="318" spans="18:19" x14ac:dyDescent="0.35">
      <c r="R318" s="3">
        <v>316</v>
      </c>
      <c r="S318" s="7">
        <f t="shared" ca="1" si="6"/>
        <v>16.868742806721194</v>
      </c>
    </row>
    <row r="319" spans="18:19" x14ac:dyDescent="0.35">
      <c r="R319" s="3">
        <v>317</v>
      </c>
      <c r="S319" s="7">
        <f t="shared" ca="1" si="6"/>
        <v>23.669660991772151</v>
      </c>
    </row>
    <row r="320" spans="18:19" x14ac:dyDescent="0.35">
      <c r="R320" s="3">
        <v>318</v>
      </c>
      <c r="S320" s="7">
        <f t="shared" ca="1" si="6"/>
        <v>8.8543132818986798</v>
      </c>
    </row>
    <row r="321" spans="18:19" x14ac:dyDescent="0.35">
      <c r="R321" s="3">
        <v>319</v>
      </c>
      <c r="S321" s="7">
        <f t="shared" ca="1" si="6"/>
        <v>4.6117094482881287</v>
      </c>
    </row>
    <row r="322" spans="18:19" x14ac:dyDescent="0.35">
      <c r="R322" s="3">
        <v>320</v>
      </c>
      <c r="S322" s="7">
        <f t="shared" ca="1" si="6"/>
        <v>17.20396967719952</v>
      </c>
    </row>
    <row r="323" spans="18:19" x14ac:dyDescent="0.35">
      <c r="R323" s="3">
        <v>321</v>
      </c>
      <c r="S323" s="7">
        <f t="shared" ca="1" si="6"/>
        <v>6.942931827144891</v>
      </c>
    </row>
    <row r="324" spans="18:19" x14ac:dyDescent="0.35">
      <c r="R324" s="3">
        <v>322</v>
      </c>
      <c r="S324" s="7">
        <f t="shared" ca="1" si="6"/>
        <v>13.370652485341287</v>
      </c>
    </row>
    <row r="325" spans="18:19" x14ac:dyDescent="0.35">
      <c r="R325" s="3">
        <v>323</v>
      </c>
      <c r="S325" s="7">
        <f t="shared" ref="S325:S388" ca="1" si="7">_xlfn.CHISQ.INV(RAND(),C$3)</f>
        <v>10.584347442983407</v>
      </c>
    </row>
    <row r="326" spans="18:19" x14ac:dyDescent="0.35">
      <c r="R326" s="3">
        <v>324</v>
      </c>
      <c r="S326" s="7">
        <f t="shared" ca="1" si="7"/>
        <v>9.3808355898779041</v>
      </c>
    </row>
    <row r="327" spans="18:19" x14ac:dyDescent="0.35">
      <c r="R327" s="3">
        <v>325</v>
      </c>
      <c r="S327" s="7">
        <f t="shared" ca="1" si="7"/>
        <v>6.2701789098107552</v>
      </c>
    </row>
    <row r="328" spans="18:19" x14ac:dyDescent="0.35">
      <c r="R328" s="3">
        <v>326</v>
      </c>
      <c r="S328" s="7">
        <f t="shared" ca="1" si="7"/>
        <v>7.1195888839519545</v>
      </c>
    </row>
    <row r="329" spans="18:19" x14ac:dyDescent="0.35">
      <c r="R329" s="3">
        <v>327</v>
      </c>
      <c r="S329" s="7">
        <f t="shared" ca="1" si="7"/>
        <v>6.9618950136360542</v>
      </c>
    </row>
    <row r="330" spans="18:19" x14ac:dyDescent="0.35">
      <c r="R330" s="3">
        <v>328</v>
      </c>
      <c r="S330" s="7">
        <f t="shared" ca="1" si="7"/>
        <v>9.5890445518342062</v>
      </c>
    </row>
    <row r="331" spans="18:19" x14ac:dyDescent="0.35">
      <c r="R331" s="3">
        <v>329</v>
      </c>
      <c r="S331" s="7">
        <f t="shared" ca="1" si="7"/>
        <v>11.021624373429669</v>
      </c>
    </row>
    <row r="332" spans="18:19" x14ac:dyDescent="0.35">
      <c r="R332" s="3">
        <v>330</v>
      </c>
      <c r="S332" s="7">
        <f t="shared" ca="1" si="7"/>
        <v>11.554658993020421</v>
      </c>
    </row>
    <row r="333" spans="18:19" x14ac:dyDescent="0.35">
      <c r="R333" s="3">
        <v>331</v>
      </c>
      <c r="S333" s="7">
        <f t="shared" ca="1" si="7"/>
        <v>4.9934697278746185</v>
      </c>
    </row>
    <row r="334" spans="18:19" x14ac:dyDescent="0.35">
      <c r="R334" s="3">
        <v>332</v>
      </c>
      <c r="S334" s="7">
        <f t="shared" ca="1" si="7"/>
        <v>24.008830322277738</v>
      </c>
    </row>
    <row r="335" spans="18:19" x14ac:dyDescent="0.35">
      <c r="R335" s="3">
        <v>333</v>
      </c>
      <c r="S335" s="7">
        <f t="shared" ca="1" si="7"/>
        <v>8.6051373466915368</v>
      </c>
    </row>
    <row r="336" spans="18:19" x14ac:dyDescent="0.35">
      <c r="R336" s="3">
        <v>334</v>
      </c>
      <c r="S336" s="7">
        <f t="shared" ca="1" si="7"/>
        <v>7.4719339240691918</v>
      </c>
    </row>
    <row r="337" spans="18:19" x14ac:dyDescent="0.35">
      <c r="R337" s="3">
        <v>335</v>
      </c>
      <c r="S337" s="7">
        <f t="shared" ca="1" si="7"/>
        <v>10.924160944488925</v>
      </c>
    </row>
    <row r="338" spans="18:19" x14ac:dyDescent="0.35">
      <c r="R338" s="3">
        <v>336</v>
      </c>
      <c r="S338" s="7">
        <f t="shared" ca="1" si="7"/>
        <v>7.6449705313468916</v>
      </c>
    </row>
    <row r="339" spans="18:19" x14ac:dyDescent="0.35">
      <c r="R339" s="3">
        <v>337</v>
      </c>
      <c r="S339" s="7">
        <f t="shared" ca="1" si="7"/>
        <v>3.7810533825264332</v>
      </c>
    </row>
    <row r="340" spans="18:19" x14ac:dyDescent="0.35">
      <c r="R340" s="3">
        <v>338</v>
      </c>
      <c r="S340" s="7">
        <f t="shared" ca="1" si="7"/>
        <v>8.705056999369063</v>
      </c>
    </row>
    <row r="341" spans="18:19" x14ac:dyDescent="0.35">
      <c r="R341" s="3">
        <v>339</v>
      </c>
      <c r="S341" s="7">
        <f t="shared" ca="1" si="7"/>
        <v>11.485678083844922</v>
      </c>
    </row>
    <row r="342" spans="18:19" x14ac:dyDescent="0.35">
      <c r="R342" s="3">
        <v>340</v>
      </c>
      <c r="S342" s="7">
        <f t="shared" ca="1" si="7"/>
        <v>5.8411580244801948</v>
      </c>
    </row>
    <row r="343" spans="18:19" x14ac:dyDescent="0.35">
      <c r="R343" s="3">
        <v>341</v>
      </c>
      <c r="S343" s="7">
        <f t="shared" ca="1" si="7"/>
        <v>3.9526679594098342</v>
      </c>
    </row>
    <row r="344" spans="18:19" x14ac:dyDescent="0.35">
      <c r="R344" s="3">
        <v>342</v>
      </c>
      <c r="S344" s="7">
        <f t="shared" ca="1" si="7"/>
        <v>9.4307097507107152</v>
      </c>
    </row>
    <row r="345" spans="18:19" x14ac:dyDescent="0.35">
      <c r="R345" s="3">
        <v>343</v>
      </c>
      <c r="S345" s="7">
        <f t="shared" ca="1" si="7"/>
        <v>7.8224326609102182</v>
      </c>
    </row>
    <row r="346" spans="18:19" x14ac:dyDescent="0.35">
      <c r="R346" s="3">
        <v>344</v>
      </c>
      <c r="S346" s="7">
        <f t="shared" ca="1" si="7"/>
        <v>4.6331875621111198</v>
      </c>
    </row>
    <row r="347" spans="18:19" x14ac:dyDescent="0.35">
      <c r="R347" s="3">
        <v>345</v>
      </c>
      <c r="S347" s="7">
        <f t="shared" ca="1" si="7"/>
        <v>13.205923328940457</v>
      </c>
    </row>
    <row r="348" spans="18:19" x14ac:dyDescent="0.35">
      <c r="R348" s="3">
        <v>346</v>
      </c>
      <c r="S348" s="7">
        <f t="shared" ca="1" si="7"/>
        <v>10.008807132244476</v>
      </c>
    </row>
    <row r="349" spans="18:19" x14ac:dyDescent="0.35">
      <c r="R349" s="3">
        <v>347</v>
      </c>
      <c r="S349" s="7">
        <f t="shared" ca="1" si="7"/>
        <v>13.520143761404167</v>
      </c>
    </row>
    <row r="350" spans="18:19" x14ac:dyDescent="0.35">
      <c r="R350" s="3">
        <v>348</v>
      </c>
      <c r="S350" s="7">
        <f t="shared" ca="1" si="7"/>
        <v>4.7795883598521272</v>
      </c>
    </row>
    <row r="351" spans="18:19" x14ac:dyDescent="0.35">
      <c r="R351" s="3">
        <v>349</v>
      </c>
      <c r="S351" s="7">
        <f t="shared" ca="1" si="7"/>
        <v>7.5674055441967809</v>
      </c>
    </row>
    <row r="352" spans="18:19" x14ac:dyDescent="0.35">
      <c r="R352" s="3">
        <v>350</v>
      </c>
      <c r="S352" s="7">
        <f t="shared" ca="1" si="7"/>
        <v>7.9520700121791412</v>
      </c>
    </row>
    <row r="353" spans="18:19" x14ac:dyDescent="0.35">
      <c r="R353" s="3">
        <v>351</v>
      </c>
      <c r="S353" s="7">
        <f t="shared" ca="1" si="7"/>
        <v>9.4822074042522448</v>
      </c>
    </row>
    <row r="354" spans="18:19" x14ac:dyDescent="0.35">
      <c r="R354" s="3">
        <v>352</v>
      </c>
      <c r="S354" s="7">
        <f t="shared" ca="1" si="7"/>
        <v>9.5141268279552325</v>
      </c>
    </row>
    <row r="355" spans="18:19" x14ac:dyDescent="0.35">
      <c r="R355" s="3">
        <v>353</v>
      </c>
      <c r="S355" s="7">
        <f t="shared" ca="1" si="7"/>
        <v>3.8638801969229859</v>
      </c>
    </row>
    <row r="356" spans="18:19" x14ac:dyDescent="0.35">
      <c r="R356" s="3">
        <v>354</v>
      </c>
      <c r="S356" s="7">
        <f t="shared" ca="1" si="7"/>
        <v>11.7817302605312</v>
      </c>
    </row>
    <row r="357" spans="18:19" x14ac:dyDescent="0.35">
      <c r="R357" s="3">
        <v>355</v>
      </c>
      <c r="S357" s="7">
        <f t="shared" ca="1" si="7"/>
        <v>6.2383920314072174</v>
      </c>
    </row>
    <row r="358" spans="18:19" x14ac:dyDescent="0.35">
      <c r="R358" s="3">
        <v>356</v>
      </c>
      <c r="S358" s="7">
        <f t="shared" ca="1" si="7"/>
        <v>7.1497840770069967</v>
      </c>
    </row>
    <row r="359" spans="18:19" x14ac:dyDescent="0.35">
      <c r="R359" s="3">
        <v>357</v>
      </c>
      <c r="S359" s="7">
        <f t="shared" ca="1" si="7"/>
        <v>8.0016230121815433</v>
      </c>
    </row>
    <row r="360" spans="18:19" x14ac:dyDescent="0.35">
      <c r="R360" s="3">
        <v>358</v>
      </c>
      <c r="S360" s="7">
        <f t="shared" ca="1" si="7"/>
        <v>7.5658763878807891</v>
      </c>
    </row>
    <row r="361" spans="18:19" x14ac:dyDescent="0.35">
      <c r="R361" s="3">
        <v>359</v>
      </c>
      <c r="S361" s="7">
        <f t="shared" ca="1" si="7"/>
        <v>8.713139160850826</v>
      </c>
    </row>
    <row r="362" spans="18:19" x14ac:dyDescent="0.35">
      <c r="R362" s="3">
        <v>360</v>
      </c>
      <c r="S362" s="7">
        <f t="shared" ca="1" si="7"/>
        <v>8.8912772203171286</v>
      </c>
    </row>
    <row r="363" spans="18:19" x14ac:dyDescent="0.35">
      <c r="R363" s="3">
        <v>361</v>
      </c>
      <c r="S363" s="7">
        <f t="shared" ca="1" si="7"/>
        <v>11.211018787239338</v>
      </c>
    </row>
    <row r="364" spans="18:19" x14ac:dyDescent="0.35">
      <c r="R364" s="3">
        <v>362</v>
      </c>
      <c r="S364" s="7">
        <f t="shared" ca="1" si="7"/>
        <v>12.866136640360615</v>
      </c>
    </row>
    <row r="365" spans="18:19" x14ac:dyDescent="0.35">
      <c r="R365" s="3">
        <v>363</v>
      </c>
      <c r="S365" s="7">
        <f t="shared" ca="1" si="7"/>
        <v>15.576425273463011</v>
      </c>
    </row>
    <row r="366" spans="18:19" x14ac:dyDescent="0.35">
      <c r="R366" s="3">
        <v>364</v>
      </c>
      <c r="S366" s="7">
        <f t="shared" ca="1" si="7"/>
        <v>13.227260199658685</v>
      </c>
    </row>
    <row r="367" spans="18:19" x14ac:dyDescent="0.35">
      <c r="R367" s="3">
        <v>365</v>
      </c>
      <c r="S367" s="7">
        <f t="shared" ca="1" si="7"/>
        <v>5.371969465122298</v>
      </c>
    </row>
    <row r="368" spans="18:19" x14ac:dyDescent="0.35">
      <c r="R368" s="3">
        <v>366</v>
      </c>
      <c r="S368" s="7">
        <f t="shared" ca="1" si="7"/>
        <v>25.807997091942003</v>
      </c>
    </row>
    <row r="369" spans="18:19" x14ac:dyDescent="0.35">
      <c r="R369" s="3">
        <v>367</v>
      </c>
      <c r="S369" s="7">
        <f t="shared" ca="1" si="7"/>
        <v>6.2924908898880378</v>
      </c>
    </row>
    <row r="370" spans="18:19" x14ac:dyDescent="0.35">
      <c r="R370" s="3">
        <v>368</v>
      </c>
      <c r="S370" s="7">
        <f t="shared" ca="1" si="7"/>
        <v>5.6005944368339655</v>
      </c>
    </row>
    <row r="371" spans="18:19" x14ac:dyDescent="0.35">
      <c r="R371" s="3">
        <v>369</v>
      </c>
      <c r="S371" s="7">
        <f t="shared" ca="1" si="7"/>
        <v>11.39212773026162</v>
      </c>
    </row>
    <row r="372" spans="18:19" x14ac:dyDescent="0.35">
      <c r="R372" s="3">
        <v>370</v>
      </c>
      <c r="S372" s="7">
        <f t="shared" ca="1" si="7"/>
        <v>5.5571990760744674</v>
      </c>
    </row>
    <row r="373" spans="18:19" x14ac:dyDescent="0.35">
      <c r="R373" s="3">
        <v>371</v>
      </c>
      <c r="S373" s="7">
        <f t="shared" ca="1" si="7"/>
        <v>12.155496320460117</v>
      </c>
    </row>
    <row r="374" spans="18:19" x14ac:dyDescent="0.35">
      <c r="R374" s="3">
        <v>372</v>
      </c>
      <c r="S374" s="7">
        <f t="shared" ca="1" si="7"/>
        <v>12.415251219568388</v>
      </c>
    </row>
    <row r="375" spans="18:19" x14ac:dyDescent="0.35">
      <c r="R375" s="3">
        <v>373</v>
      </c>
      <c r="S375" s="7">
        <f t="shared" ca="1" si="7"/>
        <v>14.130028571239501</v>
      </c>
    </row>
    <row r="376" spans="18:19" x14ac:dyDescent="0.35">
      <c r="R376" s="3">
        <v>374</v>
      </c>
      <c r="S376" s="7">
        <f t="shared" ca="1" si="7"/>
        <v>12.86031949045606</v>
      </c>
    </row>
    <row r="377" spans="18:19" x14ac:dyDescent="0.35">
      <c r="R377" s="3">
        <v>375</v>
      </c>
      <c r="S377" s="7">
        <f t="shared" ca="1" si="7"/>
        <v>13.793363848824333</v>
      </c>
    </row>
    <row r="378" spans="18:19" x14ac:dyDescent="0.35">
      <c r="R378" s="3">
        <v>376</v>
      </c>
      <c r="S378" s="7">
        <f t="shared" ca="1" si="7"/>
        <v>10.228543760404133</v>
      </c>
    </row>
    <row r="379" spans="18:19" x14ac:dyDescent="0.35">
      <c r="R379" s="3">
        <v>377</v>
      </c>
      <c r="S379" s="7">
        <f t="shared" ca="1" si="7"/>
        <v>8.1153834856259124</v>
      </c>
    </row>
    <row r="380" spans="18:19" x14ac:dyDescent="0.35">
      <c r="R380" s="3">
        <v>378</v>
      </c>
      <c r="S380" s="7">
        <f t="shared" ca="1" si="7"/>
        <v>21.095731727681112</v>
      </c>
    </row>
    <row r="381" spans="18:19" x14ac:dyDescent="0.35">
      <c r="R381" s="3">
        <v>379</v>
      </c>
      <c r="S381" s="7">
        <f t="shared" ca="1" si="7"/>
        <v>4.5974727972831477</v>
      </c>
    </row>
    <row r="382" spans="18:19" x14ac:dyDescent="0.35">
      <c r="R382" s="3">
        <v>380</v>
      </c>
      <c r="S382" s="7">
        <f t="shared" ca="1" si="7"/>
        <v>4.0063025328505057</v>
      </c>
    </row>
    <row r="383" spans="18:19" x14ac:dyDescent="0.35">
      <c r="R383" s="3">
        <v>381</v>
      </c>
      <c r="S383" s="7">
        <f t="shared" ca="1" si="7"/>
        <v>11.306385739025924</v>
      </c>
    </row>
    <row r="384" spans="18:19" x14ac:dyDescent="0.35">
      <c r="R384" s="3">
        <v>382</v>
      </c>
      <c r="S384" s="7">
        <f t="shared" ca="1" si="7"/>
        <v>5.0393102333327811</v>
      </c>
    </row>
    <row r="385" spans="18:19" x14ac:dyDescent="0.35">
      <c r="R385" s="3">
        <v>383</v>
      </c>
      <c r="S385" s="7">
        <f t="shared" ca="1" si="7"/>
        <v>6.6516081428677483</v>
      </c>
    </row>
    <row r="386" spans="18:19" x14ac:dyDescent="0.35">
      <c r="R386" s="3">
        <v>384</v>
      </c>
      <c r="S386" s="7">
        <f t="shared" ca="1" si="7"/>
        <v>10.722106140677587</v>
      </c>
    </row>
    <row r="387" spans="18:19" x14ac:dyDescent="0.35">
      <c r="R387" s="3">
        <v>385</v>
      </c>
      <c r="S387" s="7">
        <f t="shared" ca="1" si="7"/>
        <v>13.307793921442661</v>
      </c>
    </row>
    <row r="388" spans="18:19" x14ac:dyDescent="0.35">
      <c r="R388" s="3">
        <v>386</v>
      </c>
      <c r="S388" s="7">
        <f t="shared" ca="1" si="7"/>
        <v>13.335965269312631</v>
      </c>
    </row>
    <row r="389" spans="18:19" x14ac:dyDescent="0.35">
      <c r="R389" s="3">
        <v>387</v>
      </c>
      <c r="S389" s="7">
        <f t="shared" ref="S389:S452" ca="1" si="8">_xlfn.CHISQ.INV(RAND(),C$3)</f>
        <v>10.310461603517327</v>
      </c>
    </row>
    <row r="390" spans="18:19" x14ac:dyDescent="0.35">
      <c r="R390" s="3">
        <v>388</v>
      </c>
      <c r="S390" s="7">
        <f t="shared" ca="1" si="8"/>
        <v>12.348630477910671</v>
      </c>
    </row>
    <row r="391" spans="18:19" x14ac:dyDescent="0.35">
      <c r="R391" s="3">
        <v>389</v>
      </c>
      <c r="S391" s="7">
        <f t="shared" ca="1" si="8"/>
        <v>8.9783537947842582</v>
      </c>
    </row>
    <row r="392" spans="18:19" x14ac:dyDescent="0.35">
      <c r="R392" s="3">
        <v>390</v>
      </c>
      <c r="S392" s="7">
        <f t="shared" ca="1" si="8"/>
        <v>12.118653901328388</v>
      </c>
    </row>
    <row r="393" spans="18:19" x14ac:dyDescent="0.35">
      <c r="R393" s="3">
        <v>391</v>
      </c>
      <c r="S393" s="7">
        <f t="shared" ca="1" si="8"/>
        <v>8.6668500009407961</v>
      </c>
    </row>
    <row r="394" spans="18:19" x14ac:dyDescent="0.35">
      <c r="R394" s="3">
        <v>392</v>
      </c>
      <c r="S394" s="7">
        <f t="shared" ca="1" si="8"/>
        <v>4.6309143259473231</v>
      </c>
    </row>
    <row r="395" spans="18:19" x14ac:dyDescent="0.35">
      <c r="R395" s="3">
        <v>393</v>
      </c>
      <c r="S395" s="7">
        <f t="shared" ca="1" si="8"/>
        <v>1.7502777927700748</v>
      </c>
    </row>
    <row r="396" spans="18:19" x14ac:dyDescent="0.35">
      <c r="R396" s="3">
        <v>394</v>
      </c>
      <c r="S396" s="7">
        <f t="shared" ca="1" si="8"/>
        <v>17.372361364473694</v>
      </c>
    </row>
    <row r="397" spans="18:19" x14ac:dyDescent="0.35">
      <c r="R397" s="3">
        <v>395</v>
      </c>
      <c r="S397" s="7">
        <f t="shared" ca="1" si="8"/>
        <v>8.9399297730870213</v>
      </c>
    </row>
    <row r="398" spans="18:19" x14ac:dyDescent="0.35">
      <c r="R398" s="3">
        <v>396</v>
      </c>
      <c r="S398" s="7">
        <f t="shared" ca="1" si="8"/>
        <v>7.4777695471108059</v>
      </c>
    </row>
    <row r="399" spans="18:19" x14ac:dyDescent="0.35">
      <c r="R399" s="3">
        <v>397</v>
      </c>
      <c r="S399" s="7">
        <f t="shared" ca="1" si="8"/>
        <v>5.5995712731787153</v>
      </c>
    </row>
    <row r="400" spans="18:19" x14ac:dyDescent="0.35">
      <c r="R400" s="3">
        <v>398</v>
      </c>
      <c r="S400" s="7">
        <f t="shared" ca="1" si="8"/>
        <v>8.1295682986138988</v>
      </c>
    </row>
    <row r="401" spans="18:19" x14ac:dyDescent="0.35">
      <c r="R401" s="3">
        <v>399</v>
      </c>
      <c r="S401" s="7">
        <f t="shared" ca="1" si="8"/>
        <v>6.4712540612888629</v>
      </c>
    </row>
    <row r="402" spans="18:19" x14ac:dyDescent="0.35">
      <c r="R402" s="3">
        <v>400</v>
      </c>
      <c r="S402" s="7">
        <f t="shared" ca="1" si="8"/>
        <v>3.4803272771173717</v>
      </c>
    </row>
    <row r="403" spans="18:19" x14ac:dyDescent="0.35">
      <c r="R403" s="3">
        <v>401</v>
      </c>
      <c r="S403" s="7">
        <f t="shared" ca="1" si="8"/>
        <v>8.2781055341878531</v>
      </c>
    </row>
    <row r="404" spans="18:19" x14ac:dyDescent="0.35">
      <c r="R404" s="3">
        <v>402</v>
      </c>
      <c r="S404" s="7">
        <f t="shared" ca="1" si="8"/>
        <v>8.7358513796729707</v>
      </c>
    </row>
    <row r="405" spans="18:19" x14ac:dyDescent="0.35">
      <c r="R405" s="3">
        <v>403</v>
      </c>
      <c r="S405" s="7">
        <f t="shared" ca="1" si="8"/>
        <v>4.8883758978178493</v>
      </c>
    </row>
    <row r="406" spans="18:19" x14ac:dyDescent="0.35">
      <c r="R406" s="3">
        <v>404</v>
      </c>
      <c r="S406" s="7">
        <f t="shared" ca="1" si="8"/>
        <v>16.612825362079253</v>
      </c>
    </row>
    <row r="407" spans="18:19" x14ac:dyDescent="0.35">
      <c r="R407" s="3">
        <v>405</v>
      </c>
      <c r="S407" s="7">
        <f t="shared" ca="1" si="8"/>
        <v>2.8969447857262645</v>
      </c>
    </row>
    <row r="408" spans="18:19" x14ac:dyDescent="0.35">
      <c r="R408" s="3">
        <v>406</v>
      </c>
      <c r="S408" s="7">
        <f t="shared" ca="1" si="8"/>
        <v>12.915712758603147</v>
      </c>
    </row>
    <row r="409" spans="18:19" x14ac:dyDescent="0.35">
      <c r="R409" s="3">
        <v>407</v>
      </c>
      <c r="S409" s="7">
        <f t="shared" ca="1" si="8"/>
        <v>9.1430206225038493</v>
      </c>
    </row>
    <row r="410" spans="18:19" x14ac:dyDescent="0.35">
      <c r="R410" s="3">
        <v>408</v>
      </c>
      <c r="S410" s="7">
        <f t="shared" ca="1" si="8"/>
        <v>13.486731549682709</v>
      </c>
    </row>
    <row r="411" spans="18:19" x14ac:dyDescent="0.35">
      <c r="R411" s="3">
        <v>409</v>
      </c>
      <c r="S411" s="7">
        <f t="shared" ca="1" si="8"/>
        <v>12.404165807065761</v>
      </c>
    </row>
    <row r="412" spans="18:19" x14ac:dyDescent="0.35">
      <c r="R412" s="3">
        <v>410</v>
      </c>
      <c r="S412" s="7">
        <f t="shared" ca="1" si="8"/>
        <v>3.9772676971260683</v>
      </c>
    </row>
    <row r="413" spans="18:19" x14ac:dyDescent="0.35">
      <c r="R413" s="3">
        <v>411</v>
      </c>
      <c r="S413" s="7">
        <f t="shared" ca="1" si="8"/>
        <v>9.9926535497768523</v>
      </c>
    </row>
    <row r="414" spans="18:19" x14ac:dyDescent="0.35">
      <c r="R414" s="3">
        <v>412</v>
      </c>
      <c r="S414" s="7">
        <f t="shared" ca="1" si="8"/>
        <v>2.4776107108838166</v>
      </c>
    </row>
    <row r="415" spans="18:19" x14ac:dyDescent="0.35">
      <c r="R415" s="3">
        <v>413</v>
      </c>
      <c r="S415" s="7">
        <f t="shared" ca="1" si="8"/>
        <v>11.266374663122583</v>
      </c>
    </row>
    <row r="416" spans="18:19" x14ac:dyDescent="0.35">
      <c r="R416" s="3">
        <v>414</v>
      </c>
      <c r="S416" s="7">
        <f t="shared" ca="1" si="8"/>
        <v>9.6080289256044722</v>
      </c>
    </row>
    <row r="417" spans="18:19" x14ac:dyDescent="0.35">
      <c r="R417" s="3">
        <v>415</v>
      </c>
      <c r="S417" s="7">
        <f t="shared" ca="1" si="8"/>
        <v>11.250511936886289</v>
      </c>
    </row>
    <row r="418" spans="18:19" x14ac:dyDescent="0.35">
      <c r="R418" s="3">
        <v>416</v>
      </c>
      <c r="S418" s="7">
        <f t="shared" ca="1" si="8"/>
        <v>3.6058626909625593</v>
      </c>
    </row>
    <row r="419" spans="18:19" x14ac:dyDescent="0.35">
      <c r="R419" s="3">
        <v>417</v>
      </c>
      <c r="S419" s="7">
        <f t="shared" ca="1" si="8"/>
        <v>3.5087880017059008</v>
      </c>
    </row>
    <row r="420" spans="18:19" x14ac:dyDescent="0.35">
      <c r="R420" s="3">
        <v>418</v>
      </c>
      <c r="S420" s="7">
        <f t="shared" ca="1" si="8"/>
        <v>6.3533237490677008</v>
      </c>
    </row>
    <row r="421" spans="18:19" x14ac:dyDescent="0.35">
      <c r="R421" s="3">
        <v>419</v>
      </c>
      <c r="S421" s="7">
        <f t="shared" ca="1" si="8"/>
        <v>6.6581802377654045</v>
      </c>
    </row>
    <row r="422" spans="18:19" x14ac:dyDescent="0.35">
      <c r="R422" s="3">
        <v>420</v>
      </c>
      <c r="S422" s="7">
        <f t="shared" ca="1" si="8"/>
        <v>4.5098633479515078</v>
      </c>
    </row>
    <row r="423" spans="18:19" x14ac:dyDescent="0.35">
      <c r="R423" s="3">
        <v>421</v>
      </c>
      <c r="S423" s="7">
        <f t="shared" ca="1" si="8"/>
        <v>17.004226467110421</v>
      </c>
    </row>
    <row r="424" spans="18:19" x14ac:dyDescent="0.35">
      <c r="R424" s="3">
        <v>422</v>
      </c>
      <c r="S424" s="7">
        <f t="shared" ca="1" si="8"/>
        <v>9.8867637045479491</v>
      </c>
    </row>
    <row r="425" spans="18:19" x14ac:dyDescent="0.35">
      <c r="R425" s="3">
        <v>423</v>
      </c>
      <c r="S425" s="7">
        <f t="shared" ca="1" si="8"/>
        <v>9.3869564893252928</v>
      </c>
    </row>
    <row r="426" spans="18:19" x14ac:dyDescent="0.35">
      <c r="R426" s="3">
        <v>424</v>
      </c>
      <c r="S426" s="7">
        <f t="shared" ca="1" si="8"/>
        <v>7.5818997508285362</v>
      </c>
    </row>
    <row r="427" spans="18:19" x14ac:dyDescent="0.35">
      <c r="R427" s="3">
        <v>425</v>
      </c>
      <c r="S427" s="7">
        <f t="shared" ca="1" si="8"/>
        <v>9.4345710063552879</v>
      </c>
    </row>
    <row r="428" spans="18:19" x14ac:dyDescent="0.35">
      <c r="R428" s="3">
        <v>426</v>
      </c>
      <c r="S428" s="7">
        <f t="shared" ca="1" si="8"/>
        <v>20.230374643634132</v>
      </c>
    </row>
    <row r="429" spans="18:19" x14ac:dyDescent="0.35">
      <c r="R429" s="3">
        <v>427</v>
      </c>
      <c r="S429" s="7">
        <f t="shared" ca="1" si="8"/>
        <v>11.289323663109831</v>
      </c>
    </row>
    <row r="430" spans="18:19" x14ac:dyDescent="0.35">
      <c r="R430" s="3">
        <v>428</v>
      </c>
      <c r="S430" s="7">
        <f t="shared" ca="1" si="8"/>
        <v>2.6781856576749425</v>
      </c>
    </row>
    <row r="431" spans="18:19" x14ac:dyDescent="0.35">
      <c r="R431" s="3">
        <v>429</v>
      </c>
      <c r="S431" s="7">
        <f t="shared" ca="1" si="8"/>
        <v>26.785484823522811</v>
      </c>
    </row>
    <row r="432" spans="18:19" x14ac:dyDescent="0.35">
      <c r="R432" s="3">
        <v>430</v>
      </c>
      <c r="S432" s="7">
        <f t="shared" ca="1" si="8"/>
        <v>10.696969714448134</v>
      </c>
    </row>
    <row r="433" spans="18:19" x14ac:dyDescent="0.35">
      <c r="R433" s="3">
        <v>431</v>
      </c>
      <c r="S433" s="7">
        <f t="shared" ca="1" si="8"/>
        <v>9.7697146085639126</v>
      </c>
    </row>
    <row r="434" spans="18:19" x14ac:dyDescent="0.35">
      <c r="R434" s="3">
        <v>432</v>
      </c>
      <c r="S434" s="7">
        <f t="shared" ca="1" si="8"/>
        <v>8.9406919443465913</v>
      </c>
    </row>
    <row r="435" spans="18:19" x14ac:dyDescent="0.35">
      <c r="R435" s="3">
        <v>433</v>
      </c>
      <c r="S435" s="7">
        <f t="shared" ca="1" si="8"/>
        <v>20.697380007780218</v>
      </c>
    </row>
    <row r="436" spans="18:19" x14ac:dyDescent="0.35">
      <c r="R436" s="3">
        <v>434</v>
      </c>
      <c r="S436" s="7">
        <f t="shared" ca="1" si="8"/>
        <v>10.149766131212427</v>
      </c>
    </row>
    <row r="437" spans="18:19" x14ac:dyDescent="0.35">
      <c r="R437" s="3">
        <v>435</v>
      </c>
      <c r="S437" s="7">
        <f t="shared" ca="1" si="8"/>
        <v>6.2974959493334044</v>
      </c>
    </row>
    <row r="438" spans="18:19" x14ac:dyDescent="0.35">
      <c r="R438" s="3">
        <v>436</v>
      </c>
      <c r="S438" s="7">
        <f t="shared" ca="1" si="8"/>
        <v>6.3976355393717776</v>
      </c>
    </row>
    <row r="439" spans="18:19" x14ac:dyDescent="0.35">
      <c r="R439" s="3">
        <v>437</v>
      </c>
      <c r="S439" s="7">
        <f t="shared" ca="1" si="8"/>
        <v>5.5400089826599892</v>
      </c>
    </row>
    <row r="440" spans="18:19" x14ac:dyDescent="0.35">
      <c r="R440" s="3">
        <v>438</v>
      </c>
      <c r="S440" s="7">
        <f t="shared" ca="1" si="8"/>
        <v>5.8565087133493527</v>
      </c>
    </row>
    <row r="441" spans="18:19" x14ac:dyDescent="0.35">
      <c r="R441" s="3">
        <v>439</v>
      </c>
      <c r="S441" s="7">
        <f t="shared" ca="1" si="8"/>
        <v>15.815972075416125</v>
      </c>
    </row>
    <row r="442" spans="18:19" x14ac:dyDescent="0.35">
      <c r="R442" s="3">
        <v>440</v>
      </c>
      <c r="S442" s="7">
        <f t="shared" ca="1" si="8"/>
        <v>13.661892594782001</v>
      </c>
    </row>
    <row r="443" spans="18:19" x14ac:dyDescent="0.35">
      <c r="R443" s="3">
        <v>441</v>
      </c>
      <c r="S443" s="7">
        <f t="shared" ca="1" si="8"/>
        <v>14.517599566390913</v>
      </c>
    </row>
    <row r="444" spans="18:19" x14ac:dyDescent="0.35">
      <c r="R444" s="3">
        <v>442</v>
      </c>
      <c r="S444" s="7">
        <f t="shared" ca="1" si="8"/>
        <v>11.853755085975353</v>
      </c>
    </row>
    <row r="445" spans="18:19" x14ac:dyDescent="0.35">
      <c r="R445" s="3">
        <v>443</v>
      </c>
      <c r="S445" s="7">
        <f t="shared" ca="1" si="8"/>
        <v>5.4306430994641719</v>
      </c>
    </row>
    <row r="446" spans="18:19" x14ac:dyDescent="0.35">
      <c r="R446" s="3">
        <v>444</v>
      </c>
      <c r="S446" s="7">
        <f t="shared" ca="1" si="8"/>
        <v>5.0843545053872692</v>
      </c>
    </row>
    <row r="447" spans="18:19" x14ac:dyDescent="0.35">
      <c r="R447" s="3">
        <v>445</v>
      </c>
      <c r="S447" s="7">
        <f t="shared" ca="1" si="8"/>
        <v>9.0217184184120889</v>
      </c>
    </row>
    <row r="448" spans="18:19" x14ac:dyDescent="0.35">
      <c r="R448" s="3">
        <v>446</v>
      </c>
      <c r="S448" s="7">
        <f t="shared" ca="1" si="8"/>
        <v>16.565947285645194</v>
      </c>
    </row>
    <row r="449" spans="18:19" x14ac:dyDescent="0.35">
      <c r="R449" s="3">
        <v>447</v>
      </c>
      <c r="S449" s="7">
        <f t="shared" ca="1" si="8"/>
        <v>5.5401361353213359</v>
      </c>
    </row>
    <row r="450" spans="18:19" x14ac:dyDescent="0.35">
      <c r="R450" s="3">
        <v>448</v>
      </c>
      <c r="S450" s="7">
        <f t="shared" ca="1" si="8"/>
        <v>2.6921617776814282</v>
      </c>
    </row>
    <row r="451" spans="18:19" x14ac:dyDescent="0.35">
      <c r="R451" s="3">
        <v>449</v>
      </c>
      <c r="S451" s="7">
        <f t="shared" ca="1" si="8"/>
        <v>6.2368863467068492</v>
      </c>
    </row>
    <row r="452" spans="18:19" x14ac:dyDescent="0.35">
      <c r="R452" s="3">
        <v>450</v>
      </c>
      <c r="S452" s="7">
        <f t="shared" ca="1" si="8"/>
        <v>11.884393944625922</v>
      </c>
    </row>
    <row r="453" spans="18:19" x14ac:dyDescent="0.35">
      <c r="R453" s="3">
        <v>451</v>
      </c>
      <c r="S453" s="7">
        <f t="shared" ref="S453:S502" ca="1" si="9">_xlfn.CHISQ.INV(RAND(),C$3)</f>
        <v>7.9690975449923434</v>
      </c>
    </row>
    <row r="454" spans="18:19" x14ac:dyDescent="0.35">
      <c r="R454" s="3">
        <v>452</v>
      </c>
      <c r="S454" s="7">
        <f t="shared" ca="1" si="9"/>
        <v>26.543999660370833</v>
      </c>
    </row>
    <row r="455" spans="18:19" x14ac:dyDescent="0.35">
      <c r="R455" s="3">
        <v>453</v>
      </c>
      <c r="S455" s="7">
        <f t="shared" ca="1" si="9"/>
        <v>8.6138514892385611</v>
      </c>
    </row>
    <row r="456" spans="18:19" x14ac:dyDescent="0.35">
      <c r="R456" s="3">
        <v>454</v>
      </c>
      <c r="S456" s="7">
        <f t="shared" ca="1" si="9"/>
        <v>9.1397595998658421</v>
      </c>
    </row>
    <row r="457" spans="18:19" x14ac:dyDescent="0.35">
      <c r="R457" s="3">
        <v>455</v>
      </c>
      <c r="S457" s="7">
        <f t="shared" ca="1" si="9"/>
        <v>5.0767229513813836</v>
      </c>
    </row>
    <row r="458" spans="18:19" x14ac:dyDescent="0.35">
      <c r="R458" s="3">
        <v>456</v>
      </c>
      <c r="S458" s="7">
        <f t="shared" ca="1" si="9"/>
        <v>6.4696933791884144</v>
      </c>
    </row>
    <row r="459" spans="18:19" x14ac:dyDescent="0.35">
      <c r="R459" s="3">
        <v>457</v>
      </c>
      <c r="S459" s="7">
        <f t="shared" ca="1" si="9"/>
        <v>5.1848927787504016</v>
      </c>
    </row>
    <row r="460" spans="18:19" x14ac:dyDescent="0.35">
      <c r="R460" s="3">
        <v>458</v>
      </c>
      <c r="S460" s="7">
        <f t="shared" ca="1" si="9"/>
        <v>8.8870135982317926</v>
      </c>
    </row>
    <row r="461" spans="18:19" x14ac:dyDescent="0.35">
      <c r="R461" s="3">
        <v>459</v>
      </c>
      <c r="S461" s="7">
        <f t="shared" ca="1" si="9"/>
        <v>2.1438941833893361</v>
      </c>
    </row>
    <row r="462" spans="18:19" x14ac:dyDescent="0.35">
      <c r="R462" s="3">
        <v>460</v>
      </c>
      <c r="S462" s="7">
        <f t="shared" ca="1" si="9"/>
        <v>3.6087318513611391</v>
      </c>
    </row>
    <row r="463" spans="18:19" x14ac:dyDescent="0.35">
      <c r="R463" s="3">
        <v>461</v>
      </c>
      <c r="S463" s="7">
        <f t="shared" ca="1" si="9"/>
        <v>10.9574958692117</v>
      </c>
    </row>
    <row r="464" spans="18:19" x14ac:dyDescent="0.35">
      <c r="R464" s="3">
        <v>462</v>
      </c>
      <c r="S464" s="7">
        <f t="shared" ca="1" si="9"/>
        <v>21.537316846129862</v>
      </c>
    </row>
    <row r="465" spans="18:19" x14ac:dyDescent="0.35">
      <c r="R465" s="3">
        <v>463</v>
      </c>
      <c r="S465" s="7">
        <f t="shared" ca="1" si="9"/>
        <v>8.334657305794531</v>
      </c>
    </row>
    <row r="466" spans="18:19" x14ac:dyDescent="0.35">
      <c r="R466" s="3">
        <v>464</v>
      </c>
      <c r="S466" s="7">
        <f t="shared" ca="1" si="9"/>
        <v>12.478180187077516</v>
      </c>
    </row>
    <row r="467" spans="18:19" x14ac:dyDescent="0.35">
      <c r="R467" s="3">
        <v>465</v>
      </c>
      <c r="S467" s="7">
        <f t="shared" ca="1" si="9"/>
        <v>12.2691264554458</v>
      </c>
    </row>
    <row r="468" spans="18:19" x14ac:dyDescent="0.35">
      <c r="R468" s="3">
        <v>466</v>
      </c>
      <c r="S468" s="7">
        <f t="shared" ca="1" si="9"/>
        <v>7.8371472239101525</v>
      </c>
    </row>
    <row r="469" spans="18:19" x14ac:dyDescent="0.35">
      <c r="R469" s="3">
        <v>467</v>
      </c>
      <c r="S469" s="7">
        <f t="shared" ca="1" si="9"/>
        <v>4.8739363207859894</v>
      </c>
    </row>
    <row r="470" spans="18:19" x14ac:dyDescent="0.35">
      <c r="R470" s="3">
        <v>468</v>
      </c>
      <c r="S470" s="7">
        <f t="shared" ca="1" si="9"/>
        <v>2.1659966924874783</v>
      </c>
    </row>
    <row r="471" spans="18:19" x14ac:dyDescent="0.35">
      <c r="R471" s="3">
        <v>469</v>
      </c>
      <c r="S471" s="7">
        <f t="shared" ca="1" si="9"/>
        <v>6.2399686183001535</v>
      </c>
    </row>
    <row r="472" spans="18:19" x14ac:dyDescent="0.35">
      <c r="R472" s="3">
        <v>470</v>
      </c>
      <c r="S472" s="7">
        <f t="shared" ca="1" si="9"/>
        <v>10.113264657155845</v>
      </c>
    </row>
    <row r="473" spans="18:19" x14ac:dyDescent="0.35">
      <c r="R473" s="3">
        <v>471</v>
      </c>
      <c r="S473" s="7">
        <f t="shared" ca="1" si="9"/>
        <v>7.8590298307304014</v>
      </c>
    </row>
    <row r="474" spans="18:19" x14ac:dyDescent="0.35">
      <c r="R474" s="3">
        <v>472</v>
      </c>
      <c r="S474" s="7">
        <f t="shared" ca="1" si="9"/>
        <v>15.29872788646499</v>
      </c>
    </row>
    <row r="475" spans="18:19" x14ac:dyDescent="0.35">
      <c r="R475" s="3">
        <v>473</v>
      </c>
      <c r="S475" s="7">
        <f t="shared" ca="1" si="9"/>
        <v>3.5146791805855826</v>
      </c>
    </row>
    <row r="476" spans="18:19" x14ac:dyDescent="0.35">
      <c r="R476" s="3">
        <v>474</v>
      </c>
      <c r="S476" s="7">
        <f t="shared" ca="1" si="9"/>
        <v>6.182405555098315</v>
      </c>
    </row>
    <row r="477" spans="18:19" x14ac:dyDescent="0.35">
      <c r="R477" s="3">
        <v>475</v>
      </c>
      <c r="S477" s="7">
        <f t="shared" ca="1" si="9"/>
        <v>7.6332150000479251</v>
      </c>
    </row>
    <row r="478" spans="18:19" x14ac:dyDescent="0.35">
      <c r="R478" s="3">
        <v>476</v>
      </c>
      <c r="S478" s="7">
        <f t="shared" ca="1" si="9"/>
        <v>9.8092149177352077</v>
      </c>
    </row>
    <row r="479" spans="18:19" x14ac:dyDescent="0.35">
      <c r="R479" s="3">
        <v>477</v>
      </c>
      <c r="S479" s="7">
        <f t="shared" ca="1" si="9"/>
        <v>31.145652482565048</v>
      </c>
    </row>
    <row r="480" spans="18:19" x14ac:dyDescent="0.35">
      <c r="R480" s="3">
        <v>478</v>
      </c>
      <c r="S480" s="7">
        <f t="shared" ca="1" si="9"/>
        <v>3.5735376559906125</v>
      </c>
    </row>
    <row r="481" spans="18:19" x14ac:dyDescent="0.35">
      <c r="R481" s="3">
        <v>479</v>
      </c>
      <c r="S481" s="7">
        <f t="shared" ca="1" si="9"/>
        <v>7.8620340130681043</v>
      </c>
    </row>
    <row r="482" spans="18:19" x14ac:dyDescent="0.35">
      <c r="R482" s="3">
        <v>480</v>
      </c>
      <c r="S482" s="7">
        <f t="shared" ca="1" si="9"/>
        <v>5.8295785962604754</v>
      </c>
    </row>
    <row r="483" spans="18:19" x14ac:dyDescent="0.35">
      <c r="R483" s="3">
        <v>481</v>
      </c>
      <c r="S483" s="7">
        <f t="shared" ca="1" si="9"/>
        <v>9.106120509556515</v>
      </c>
    </row>
    <row r="484" spans="18:19" x14ac:dyDescent="0.35">
      <c r="R484" s="3">
        <v>482</v>
      </c>
      <c r="S484" s="7">
        <f t="shared" ca="1" si="9"/>
        <v>5.181376312105586</v>
      </c>
    </row>
    <row r="485" spans="18:19" x14ac:dyDescent="0.35">
      <c r="R485" s="3">
        <v>483</v>
      </c>
      <c r="S485" s="7">
        <f t="shared" ca="1" si="9"/>
        <v>14.89489659956282</v>
      </c>
    </row>
    <row r="486" spans="18:19" x14ac:dyDescent="0.35">
      <c r="R486" s="3">
        <v>484</v>
      </c>
      <c r="S486" s="7">
        <f t="shared" ca="1" si="9"/>
        <v>11.102538085303951</v>
      </c>
    </row>
    <row r="487" spans="18:19" x14ac:dyDescent="0.35">
      <c r="R487" s="3">
        <v>485</v>
      </c>
      <c r="S487" s="7">
        <f t="shared" ca="1" si="9"/>
        <v>15.454078465763184</v>
      </c>
    </row>
    <row r="488" spans="18:19" x14ac:dyDescent="0.35">
      <c r="R488" s="3">
        <v>486</v>
      </c>
      <c r="S488" s="7">
        <f t="shared" ca="1" si="9"/>
        <v>8.4009551934307858</v>
      </c>
    </row>
    <row r="489" spans="18:19" x14ac:dyDescent="0.35">
      <c r="R489" s="3">
        <v>487</v>
      </c>
      <c r="S489" s="7">
        <f t="shared" ca="1" si="9"/>
        <v>18.499841074316059</v>
      </c>
    </row>
    <row r="490" spans="18:19" x14ac:dyDescent="0.35">
      <c r="R490" s="3">
        <v>488</v>
      </c>
      <c r="S490" s="7">
        <f t="shared" ca="1" si="9"/>
        <v>3.5004873887884149</v>
      </c>
    </row>
    <row r="491" spans="18:19" x14ac:dyDescent="0.35">
      <c r="R491" s="3">
        <v>489</v>
      </c>
      <c r="S491" s="7">
        <f t="shared" ca="1" si="9"/>
        <v>9.1491309997063208</v>
      </c>
    </row>
    <row r="492" spans="18:19" x14ac:dyDescent="0.35">
      <c r="R492" s="3">
        <v>490</v>
      </c>
      <c r="S492" s="7">
        <f t="shared" ca="1" si="9"/>
        <v>9.9813208946406942</v>
      </c>
    </row>
    <row r="493" spans="18:19" x14ac:dyDescent="0.35">
      <c r="R493" s="3">
        <v>491</v>
      </c>
      <c r="S493" s="7">
        <f t="shared" ca="1" si="9"/>
        <v>11.309968545728236</v>
      </c>
    </row>
    <row r="494" spans="18:19" x14ac:dyDescent="0.35">
      <c r="R494" s="3">
        <v>492</v>
      </c>
      <c r="S494" s="7">
        <f t="shared" ca="1" si="9"/>
        <v>11.369532911398226</v>
      </c>
    </row>
    <row r="495" spans="18:19" x14ac:dyDescent="0.35">
      <c r="R495" s="3">
        <v>493</v>
      </c>
      <c r="S495" s="7">
        <f t="shared" ca="1" si="9"/>
        <v>7.7965822210747078</v>
      </c>
    </row>
    <row r="496" spans="18:19" x14ac:dyDescent="0.35">
      <c r="R496" s="3">
        <v>494</v>
      </c>
      <c r="S496" s="7">
        <f t="shared" ca="1" si="9"/>
        <v>10.177048040306859</v>
      </c>
    </row>
    <row r="497" spans="18:19" x14ac:dyDescent="0.35">
      <c r="R497" s="3">
        <v>495</v>
      </c>
      <c r="S497" s="7">
        <f t="shared" ca="1" si="9"/>
        <v>3.903103883478054</v>
      </c>
    </row>
    <row r="498" spans="18:19" x14ac:dyDescent="0.35">
      <c r="R498" s="3">
        <v>496</v>
      </c>
      <c r="S498" s="7">
        <f t="shared" ca="1" si="9"/>
        <v>6.9264332186463653</v>
      </c>
    </row>
    <row r="499" spans="18:19" x14ac:dyDescent="0.35">
      <c r="R499" s="3">
        <v>497</v>
      </c>
      <c r="S499" s="7">
        <f t="shared" ca="1" si="9"/>
        <v>13.885498616486078</v>
      </c>
    </row>
    <row r="500" spans="18:19" x14ac:dyDescent="0.35">
      <c r="R500" s="3">
        <v>498</v>
      </c>
      <c r="S500" s="7">
        <f t="shared" ca="1" si="9"/>
        <v>9.8789676389797325</v>
      </c>
    </row>
    <row r="501" spans="18:19" x14ac:dyDescent="0.35">
      <c r="R501" s="3">
        <v>499</v>
      </c>
      <c r="S501" s="7">
        <f t="shared" ca="1" si="9"/>
        <v>4.8169717479846215</v>
      </c>
    </row>
    <row r="502" spans="18:19" x14ac:dyDescent="0.35">
      <c r="R502" s="3">
        <v>500</v>
      </c>
      <c r="S502" s="7">
        <f t="shared" ca="1" si="9"/>
        <v>14.824477318315029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E48AA-EB5A-429F-9685-5C6CA9DC159C}">
  <dimension ref="B2:S502"/>
  <sheetViews>
    <sheetView zoomScale="70" zoomScaleNormal="70" workbookViewId="0">
      <selection activeCell="U24" sqref="U24"/>
    </sheetView>
  </sheetViews>
  <sheetFormatPr defaultRowHeight="14.5" x14ac:dyDescent="0.35"/>
  <cols>
    <col min="1" max="1" width="3.36328125" style="1" customWidth="1"/>
    <col min="2" max="2" width="14.90625" style="1" bestFit="1" customWidth="1"/>
    <col min="3" max="3" width="8.7265625" style="1"/>
    <col min="4" max="4" width="8.7265625" style="1" customWidth="1"/>
    <col min="5" max="5" width="12" style="3" customWidth="1"/>
    <col min="6" max="6" width="12" style="7" customWidth="1"/>
    <col min="7" max="17" width="8.7265625" style="1"/>
    <col min="18" max="18" width="12" style="3" customWidth="1"/>
    <col min="19" max="19" width="12" style="7" customWidth="1"/>
    <col min="20" max="16384" width="8.7265625" style="1"/>
  </cols>
  <sheetData>
    <row r="2" spans="2:19" x14ac:dyDescent="0.35">
      <c r="B2" s="5" t="s">
        <v>9</v>
      </c>
      <c r="C2" s="5" t="s">
        <v>10</v>
      </c>
      <c r="E2" s="6" t="s">
        <v>24</v>
      </c>
      <c r="F2" s="8" t="s">
        <v>20</v>
      </c>
      <c r="H2" s="1" t="str">
        <f>"Normal/Gaussian Dist. - mu = "&amp;C3&amp;", sigma = "&amp;C4</f>
        <v>Normal/Gaussian Dist. - mu = 6, sigma = 6</v>
      </c>
      <c r="R2" s="6" t="s">
        <v>25</v>
      </c>
      <c r="S2" s="8" t="s">
        <v>26</v>
      </c>
    </row>
    <row r="3" spans="2:19" x14ac:dyDescent="0.35">
      <c r="B3" s="1" t="s">
        <v>21</v>
      </c>
      <c r="C3" s="4">
        <v>6</v>
      </c>
      <c r="E3" s="9">
        <v>0</v>
      </c>
      <c r="F3" s="7">
        <f>_xlfn.F.DIST(E3,C$3,C$4,TRUE)</f>
        <v>0</v>
      </c>
      <c r="R3" s="3">
        <v>1</v>
      </c>
      <c r="S3" s="7">
        <f ca="1">_xlfn.F.INV(RAND(),C$3,C$4)</f>
        <v>1.377928236297731</v>
      </c>
    </row>
    <row r="4" spans="2:19" x14ac:dyDescent="0.35">
      <c r="B4" s="1" t="s">
        <v>22</v>
      </c>
      <c r="C4" s="4">
        <v>6</v>
      </c>
      <c r="E4" s="9">
        <v>0.05</v>
      </c>
      <c r="F4" s="7">
        <f>_xlfn.F.DIST(E4,C$3,C$4,TRUE)-_xlfn.F.DIST(E3,C$3,C$4,TRUE)</f>
        <v>1.0041377527147352E-3</v>
      </c>
      <c r="G4" s="11"/>
      <c r="R4" s="3">
        <v>2</v>
      </c>
      <c r="S4" s="7">
        <f t="shared" ref="S4:S67" ca="1" si="0">_xlfn.F.INV(RAND(),C$3,C$4)</f>
        <v>0.27795774072732399</v>
      </c>
    </row>
    <row r="5" spans="2:19" x14ac:dyDescent="0.35">
      <c r="E5" s="9">
        <v>0.1</v>
      </c>
      <c r="F5" s="7">
        <f t="shared" ref="F5:F68" si="1">_xlfn.F.DIST(E5,C$3,C$4,TRUE)-_xlfn.F.DIST(E4,C$3,C$4,TRUE)</f>
        <v>5.5217453526369923E-3</v>
      </c>
      <c r="G5" s="11"/>
      <c r="R5" s="3">
        <v>3</v>
      </c>
      <c r="S5" s="7">
        <f t="shared" ca="1" si="0"/>
        <v>2.6543943352445392</v>
      </c>
    </row>
    <row r="6" spans="2:19" x14ac:dyDescent="0.35">
      <c r="E6" s="9">
        <v>0.15</v>
      </c>
      <c r="F6" s="7">
        <f t="shared" si="1"/>
        <v>1.1550064680526058E-2</v>
      </c>
      <c r="G6" s="11"/>
      <c r="R6" s="3">
        <v>4</v>
      </c>
      <c r="S6" s="7">
        <f t="shared" ca="1" si="0"/>
        <v>0.90430860447176065</v>
      </c>
    </row>
    <row r="7" spans="2:19" x14ac:dyDescent="0.35">
      <c r="E7" s="9">
        <v>0.2</v>
      </c>
      <c r="F7" s="7">
        <f t="shared" si="1"/>
        <v>1.7417879374616013E-2</v>
      </c>
      <c r="G7" s="11"/>
      <c r="R7" s="3">
        <v>5</v>
      </c>
      <c r="S7" s="7">
        <f t="shared" ca="1" si="0"/>
        <v>0.87662912903405044</v>
      </c>
    </row>
    <row r="8" spans="2:19" x14ac:dyDescent="0.35">
      <c r="E8" s="9">
        <v>0.25</v>
      </c>
      <c r="F8" s="7">
        <f t="shared" si="1"/>
        <v>2.2426172839506209E-2</v>
      </c>
      <c r="G8" s="11"/>
      <c r="R8" s="3">
        <v>6</v>
      </c>
      <c r="S8" s="7">
        <f t="shared" ca="1" si="0"/>
        <v>1.5266919052978345</v>
      </c>
    </row>
    <row r="9" spans="2:19" x14ac:dyDescent="0.35">
      <c r="E9" s="9">
        <v>0.3</v>
      </c>
      <c r="F9" s="7">
        <f t="shared" si="1"/>
        <v>2.6361147234124992E-2</v>
      </c>
      <c r="G9" s="11"/>
      <c r="R9" s="3">
        <v>7</v>
      </c>
      <c r="S9" s="7">
        <f t="shared" ca="1" si="0"/>
        <v>1.1060167285553921</v>
      </c>
    </row>
    <row r="10" spans="2:19" x14ac:dyDescent="0.35">
      <c r="E10" s="9">
        <v>0.35</v>
      </c>
      <c r="F10" s="7">
        <f t="shared" si="1"/>
        <v>2.9240182299894502E-2</v>
      </c>
      <c r="G10" s="11"/>
      <c r="R10" s="3">
        <v>8</v>
      </c>
      <c r="S10" s="7">
        <f t="shared" ca="1" si="0"/>
        <v>0.74197639195264919</v>
      </c>
    </row>
    <row r="11" spans="2:19" x14ac:dyDescent="0.35">
      <c r="E11" s="9">
        <v>0.4</v>
      </c>
      <c r="F11" s="7">
        <f t="shared" si="1"/>
        <v>3.1180282889375549E-2</v>
      </c>
      <c r="G11" s="11"/>
      <c r="R11" s="3">
        <v>9</v>
      </c>
      <c r="S11" s="7">
        <f t="shared" ca="1" si="0"/>
        <v>1.5982096249112687</v>
      </c>
    </row>
    <row r="12" spans="2:19" x14ac:dyDescent="0.35">
      <c r="E12" s="9">
        <v>0.45</v>
      </c>
      <c r="F12" s="7">
        <f t="shared" si="1"/>
        <v>3.2331327076971395E-2</v>
      </c>
      <c r="G12" s="11"/>
      <c r="R12" s="3">
        <v>10</v>
      </c>
      <c r="S12" s="7">
        <f t="shared" ca="1" si="0"/>
        <v>0.34271138333144818</v>
      </c>
    </row>
    <row r="13" spans="2:19" x14ac:dyDescent="0.35">
      <c r="E13" s="9">
        <v>0.5</v>
      </c>
      <c r="F13" s="7">
        <f t="shared" si="1"/>
        <v>3.2843603709510089E-2</v>
      </c>
      <c r="G13" s="11"/>
      <c r="R13" s="3">
        <v>11</v>
      </c>
      <c r="S13" s="7">
        <f t="shared" ca="1" si="0"/>
        <v>0.76961038099989565</v>
      </c>
    </row>
    <row r="14" spans="2:19" x14ac:dyDescent="0.35">
      <c r="E14" s="9">
        <v>0.55000000000000004</v>
      </c>
      <c r="F14" s="7">
        <f t="shared" si="1"/>
        <v>3.2853358211230921E-2</v>
      </c>
      <c r="G14" s="11"/>
      <c r="R14" s="3">
        <v>12</v>
      </c>
      <c r="S14" s="7">
        <f t="shared" ca="1" si="0"/>
        <v>0.94020047020953468</v>
      </c>
    </row>
    <row r="15" spans="2:19" x14ac:dyDescent="0.35">
      <c r="E15" s="9">
        <v>0.6</v>
      </c>
      <c r="F15" s="7">
        <f t="shared" si="1"/>
        <v>3.2477618110142492E-2</v>
      </c>
      <c r="G15" s="11"/>
      <c r="R15" s="3">
        <v>13</v>
      </c>
      <c r="S15" s="7">
        <f t="shared" ca="1" si="0"/>
        <v>0.81041324067765685</v>
      </c>
    </row>
    <row r="16" spans="2:19" x14ac:dyDescent="0.35">
      <c r="E16" s="9">
        <v>0.65</v>
      </c>
      <c r="F16" s="7">
        <f t="shared" si="1"/>
        <v>3.1813621153347293E-2</v>
      </c>
      <c r="G16" s="11"/>
      <c r="R16" s="3">
        <v>14</v>
      </c>
      <c r="S16" s="7">
        <f t="shared" ca="1" si="0"/>
        <v>0.24464603271250285</v>
      </c>
    </row>
    <row r="17" spans="5:19" x14ac:dyDescent="0.35">
      <c r="E17" s="9">
        <v>0.7</v>
      </c>
      <c r="F17" s="7">
        <f t="shared" si="1"/>
        <v>3.0940358255084732E-2</v>
      </c>
      <c r="G17" s="11"/>
      <c r="R17" s="3">
        <v>15</v>
      </c>
      <c r="S17" s="7">
        <f t="shared" ca="1" si="0"/>
        <v>1.3218929992435506</v>
      </c>
    </row>
    <row r="18" spans="5:19" x14ac:dyDescent="0.35">
      <c r="E18" s="9">
        <v>0.75</v>
      </c>
      <c r="F18" s="7">
        <f t="shared" si="1"/>
        <v>2.9920931000224027E-2</v>
      </c>
      <c r="G18" s="11"/>
      <c r="R18" s="3">
        <v>16</v>
      </c>
      <c r="S18" s="7">
        <f t="shared" ca="1" si="0"/>
        <v>0.47874917623895802</v>
      </c>
    </row>
    <row r="19" spans="5:19" x14ac:dyDescent="0.35">
      <c r="E19" s="9">
        <v>0.8</v>
      </c>
      <c r="F19" s="7">
        <f t="shared" si="1"/>
        <v>2.8805066884765085E-2</v>
      </c>
      <c r="G19" s="11"/>
      <c r="R19" s="3">
        <v>17</v>
      </c>
      <c r="S19" s="7">
        <f t="shared" ca="1" si="0"/>
        <v>5.7659588020389139</v>
      </c>
    </row>
    <row r="20" spans="5:19" x14ac:dyDescent="0.35">
      <c r="E20" s="9">
        <v>0.85</v>
      </c>
      <c r="F20" s="7">
        <f t="shared" si="1"/>
        <v>2.7631481684155579E-2</v>
      </c>
      <c r="G20" s="11"/>
      <c r="R20" s="3">
        <v>18</v>
      </c>
      <c r="S20" s="7">
        <f t="shared" ca="1" si="0"/>
        <v>1.6197053049476884</v>
      </c>
    </row>
    <row r="21" spans="5:19" x14ac:dyDescent="0.35">
      <c r="E21" s="9">
        <v>0.9</v>
      </c>
      <c r="F21" s="7">
        <f t="shared" si="1"/>
        <v>2.6429961658751555E-2</v>
      </c>
      <c r="G21" s="11"/>
      <c r="R21" s="3">
        <v>19</v>
      </c>
      <c r="S21" s="7">
        <f t="shared" ca="1" si="0"/>
        <v>1.0900491213926475</v>
      </c>
    </row>
    <row r="22" spans="5:19" x14ac:dyDescent="0.35">
      <c r="E22" s="9">
        <v>0.95</v>
      </c>
      <c r="F22" s="7">
        <f t="shared" si="1"/>
        <v>2.5223132468943421E-2</v>
      </c>
      <c r="G22" s="11"/>
      <c r="R22" s="3">
        <v>20</v>
      </c>
      <c r="S22" s="7">
        <f t="shared" ca="1" si="0"/>
        <v>0.64850125363097944</v>
      </c>
    </row>
    <row r="23" spans="5:19" x14ac:dyDescent="0.35">
      <c r="E23" s="9">
        <v>1</v>
      </c>
      <c r="F23" s="7">
        <f t="shared" si="1"/>
        <v>2.4027927363478474E-2</v>
      </c>
      <c r="G23" s="11"/>
      <c r="R23" s="3">
        <v>21</v>
      </c>
      <c r="S23" s="7">
        <f t="shared" ca="1" si="0"/>
        <v>5.0640024133148849</v>
      </c>
    </row>
    <row r="24" spans="5:19" x14ac:dyDescent="0.35">
      <c r="E24" s="9">
        <v>1.05</v>
      </c>
      <c r="F24" s="7">
        <f t="shared" si="1"/>
        <v>2.2856786923299732E-2</v>
      </c>
      <c r="G24" s="11"/>
      <c r="R24" s="3">
        <v>22</v>
      </c>
      <c r="S24" s="7">
        <f t="shared" ca="1" si="0"/>
        <v>0.83376966358930726</v>
      </c>
    </row>
    <row r="25" spans="5:19" x14ac:dyDescent="0.35">
      <c r="E25" s="9">
        <v>1.1000000000000001</v>
      </c>
      <c r="F25" s="7">
        <f t="shared" si="1"/>
        <v>2.1718628816908447E-2</v>
      </c>
      <c r="G25" s="11"/>
      <c r="R25" s="3">
        <v>23</v>
      </c>
      <c r="S25" s="7">
        <f t="shared" ca="1" si="0"/>
        <v>0.37667491991945184</v>
      </c>
    </row>
    <row r="26" spans="5:19" x14ac:dyDescent="0.35">
      <c r="E26" s="9">
        <v>1.1499999999999999</v>
      </c>
      <c r="F26" s="7">
        <f t="shared" si="1"/>
        <v>2.0619625472492631E-2</v>
      </c>
      <c r="G26" s="11"/>
      <c r="R26" s="3">
        <v>24</v>
      </c>
      <c r="S26" s="7">
        <f t="shared" ca="1" si="0"/>
        <v>0.2577978300410908</v>
      </c>
    </row>
    <row r="27" spans="5:19" x14ac:dyDescent="0.35">
      <c r="E27" s="9">
        <v>1.2</v>
      </c>
      <c r="F27" s="7">
        <f t="shared" si="1"/>
        <v>1.9563823991489038E-2</v>
      </c>
      <c r="G27" s="11"/>
      <c r="R27" s="3">
        <v>25</v>
      </c>
      <c r="S27" s="7">
        <f t="shared" ca="1" si="0"/>
        <v>0.38017180213478058</v>
      </c>
    </row>
    <row r="28" spans="5:19" x14ac:dyDescent="0.35">
      <c r="E28" s="9">
        <v>1.25</v>
      </c>
      <c r="F28" s="7">
        <f t="shared" si="1"/>
        <v>1.8553637971138959E-2</v>
      </c>
      <c r="G28" s="11"/>
      <c r="R28" s="3">
        <v>26</v>
      </c>
      <c r="S28" s="7">
        <f t="shared" ca="1" si="0"/>
        <v>0.28939539439608519</v>
      </c>
    </row>
    <row r="29" spans="5:19" x14ac:dyDescent="0.35">
      <c r="E29" s="9">
        <v>1.3</v>
      </c>
      <c r="F29" s="7">
        <f t="shared" si="1"/>
        <v>1.7590236159725103E-2</v>
      </c>
      <c r="G29" s="11"/>
      <c r="R29" s="3">
        <v>27</v>
      </c>
      <c r="S29" s="7">
        <f ca="1">_xlfn.F.INV(RAND(),C$3,C$4)</f>
        <v>0.23354399610062782</v>
      </c>
    </row>
    <row r="30" spans="5:19" x14ac:dyDescent="0.35">
      <c r="E30" s="9">
        <v>1.35</v>
      </c>
      <c r="F30" s="7">
        <f t="shared" si="1"/>
        <v>1.6673848499709765E-2</v>
      </c>
      <c r="G30" s="11"/>
      <c r="R30" s="3">
        <v>28</v>
      </c>
      <c r="S30" s="7">
        <f t="shared" ca="1" si="0"/>
        <v>0.3484624972579079</v>
      </c>
    </row>
    <row r="31" spans="5:19" x14ac:dyDescent="0.35">
      <c r="E31" s="9">
        <v>1.4</v>
      </c>
      <c r="F31" s="7">
        <f t="shared" si="1"/>
        <v>1.580400630103862E-2</v>
      </c>
      <c r="G31" s="11"/>
      <c r="R31" s="3">
        <v>29</v>
      </c>
      <c r="S31" s="7">
        <f t="shared" ca="1" si="0"/>
        <v>1.8046406855163029</v>
      </c>
    </row>
    <row r="32" spans="5:19" x14ac:dyDescent="0.35">
      <c r="E32" s="9">
        <v>1.45</v>
      </c>
      <c r="F32" s="7">
        <f t="shared" si="1"/>
        <v>1.4979730063787944E-2</v>
      </c>
      <c r="G32" s="11"/>
      <c r="R32" s="3">
        <v>30</v>
      </c>
      <c r="S32" s="7">
        <f t="shared" ca="1" si="0"/>
        <v>0.79606628582922045</v>
      </c>
    </row>
    <row r="33" spans="5:19" x14ac:dyDescent="0.35">
      <c r="E33" s="9">
        <v>1.5</v>
      </c>
      <c r="F33" s="7">
        <f t="shared" si="1"/>
        <v>1.4199675800409595E-2</v>
      </c>
      <c r="G33" s="11"/>
      <c r="R33" s="3">
        <v>31</v>
      </c>
      <c r="S33" s="7">
        <f t="shared" ca="1" si="0"/>
        <v>2.8671652757071771</v>
      </c>
    </row>
    <row r="34" spans="5:19" x14ac:dyDescent="0.35">
      <c r="E34" s="9">
        <v>1.55</v>
      </c>
      <c r="F34" s="7">
        <f t="shared" si="1"/>
        <v>1.3462248528122944E-2</v>
      </c>
      <c r="G34" s="11"/>
      <c r="R34" s="3">
        <v>32</v>
      </c>
      <c r="S34" s="7">
        <f t="shared" ca="1" si="0"/>
        <v>0.31349083035402753</v>
      </c>
    </row>
    <row r="35" spans="5:19" x14ac:dyDescent="0.35">
      <c r="E35" s="9">
        <v>1.6</v>
      </c>
      <c r="F35" s="7">
        <f t="shared" si="1"/>
        <v>1.2765689838611816E-2</v>
      </c>
      <c r="G35" s="11"/>
      <c r="R35" s="3">
        <v>33</v>
      </c>
      <c r="S35" s="7">
        <f t="shared" ca="1" si="0"/>
        <v>0.54373508508858115</v>
      </c>
    </row>
    <row r="36" spans="5:19" x14ac:dyDescent="0.35">
      <c r="E36" s="9">
        <v>1.65</v>
      </c>
      <c r="F36" s="7">
        <f t="shared" si="1"/>
        <v>1.2108145035101381E-2</v>
      </c>
      <c r="G36" s="11"/>
      <c r="R36" s="3">
        <v>34</v>
      </c>
      <c r="S36" s="7">
        <f t="shared" ca="1" si="0"/>
        <v>7.3085937248363764E-2</v>
      </c>
    </row>
    <row r="37" spans="5:19" x14ac:dyDescent="0.35">
      <c r="E37" s="9">
        <v>1.7</v>
      </c>
      <c r="F37" s="7">
        <f t="shared" si="1"/>
        <v>1.1487714193339604E-2</v>
      </c>
      <c r="G37" s="11"/>
      <c r="R37" s="3">
        <v>35</v>
      </c>
      <c r="S37" s="7">
        <f t="shared" ca="1" si="0"/>
        <v>2.1233619367823802</v>
      </c>
    </row>
    <row r="38" spans="5:19" x14ac:dyDescent="0.35">
      <c r="E38" s="9">
        <v>1.75</v>
      </c>
      <c r="F38" s="7">
        <f t="shared" si="1"/>
        <v>1.0902490599247194E-2</v>
      </c>
      <c r="G38" s="11"/>
      <c r="R38" s="3">
        <v>36</v>
      </c>
      <c r="S38" s="7">
        <f t="shared" ca="1" si="0"/>
        <v>2.8949722421421842</v>
      </c>
    </row>
    <row r="39" spans="5:19" x14ac:dyDescent="0.35">
      <c r="E39" s="9">
        <v>1.8</v>
      </c>
      <c r="F39" s="7">
        <f t="shared" si="1"/>
        <v>1.0350589297098534E-2</v>
      </c>
      <c r="G39" s="11"/>
      <c r="R39" s="3">
        <v>37</v>
      </c>
      <c r="S39" s="7">
        <f t="shared" ca="1" si="0"/>
        <v>0.60144804869008417</v>
      </c>
    </row>
    <row r="40" spans="5:19" x14ac:dyDescent="0.35">
      <c r="E40" s="9">
        <v>1.85</v>
      </c>
      <c r="F40" s="7">
        <f t="shared" si="1"/>
        <v>9.8301679110739393E-3</v>
      </c>
      <c r="G40" s="11"/>
      <c r="R40" s="3">
        <v>38</v>
      </c>
      <c r="S40" s="7">
        <f t="shared" ca="1" si="0"/>
        <v>1.5822635211113509</v>
      </c>
    </row>
    <row r="41" spans="5:19" x14ac:dyDescent="0.35">
      <c r="E41" s="9">
        <v>1.9</v>
      </c>
      <c r="F41" s="7">
        <f t="shared" si="1"/>
        <v>9.3394414499938794E-3</v>
      </c>
      <c r="G41" s="11"/>
      <c r="R41" s="3">
        <v>39</v>
      </c>
      <c r="S41" s="7">
        <f t="shared" ca="1" si="0"/>
        <v>2.128361349699313</v>
      </c>
    </row>
    <row r="42" spans="5:19" x14ac:dyDescent="0.35">
      <c r="E42" s="9">
        <v>1.95</v>
      </c>
      <c r="F42" s="7">
        <f t="shared" si="1"/>
        <v>8.8766924458107965E-3</v>
      </c>
      <c r="G42" s="11"/>
      <c r="R42" s="3">
        <v>40</v>
      </c>
      <c r="S42" s="7">
        <f t="shared" ca="1" si="0"/>
        <v>0.43681128492673582</v>
      </c>
    </row>
    <row r="43" spans="5:19" x14ac:dyDescent="0.35">
      <c r="E43" s="9">
        <v>2</v>
      </c>
      <c r="F43" s="7">
        <f t="shared" si="1"/>
        <v>8.4402774917233803E-3</v>
      </c>
      <c r="G43" s="11"/>
      <c r="R43" s="3">
        <v>41</v>
      </c>
      <c r="S43" s="7">
        <f t="shared" ca="1" si="0"/>
        <v>0.95013734322588572</v>
      </c>
    </row>
    <row r="44" spans="5:19" x14ac:dyDescent="0.35">
      <c r="E44" s="9">
        <v>2.0499999999999998</v>
      </c>
      <c r="F44" s="7">
        <f t="shared" si="1"/>
        <v>8.0286310201687083E-3</v>
      </c>
      <c r="G44" s="11"/>
      <c r="R44" s="3">
        <v>42</v>
      </c>
      <c r="S44" s="7">
        <f t="shared" ca="1" si="0"/>
        <v>2.1252990673782284</v>
      </c>
    </row>
    <row r="45" spans="5:19" x14ac:dyDescent="0.35">
      <c r="E45" s="9">
        <v>2.1</v>
      </c>
      <c r="F45" s="7">
        <f t="shared" si="1"/>
        <v>7.6402669822059899E-3</v>
      </c>
      <c r="G45" s="11"/>
      <c r="R45" s="3">
        <v>43</v>
      </c>
      <c r="S45" s="7">
        <f t="shared" ca="1" si="0"/>
        <v>1.1408932534016607</v>
      </c>
    </row>
    <row r="46" spans="5:19" x14ac:dyDescent="0.35">
      <c r="E46" s="9">
        <v>2.15</v>
      </c>
      <c r="F46" s="7">
        <f t="shared" si="1"/>
        <v>7.2737789482060222E-3</v>
      </c>
      <c r="G46" s="11"/>
      <c r="R46" s="3">
        <v>44</v>
      </c>
      <c r="S46" s="7">
        <f t="shared" ca="1" si="0"/>
        <v>0.53891188506628229</v>
      </c>
    </row>
    <row r="47" spans="5:19" x14ac:dyDescent="0.35">
      <c r="E47" s="9">
        <v>2.2000000000000002</v>
      </c>
      <c r="F47" s="7">
        <f t="shared" si="1"/>
        <v>6.9278390376161791E-3</v>
      </c>
      <c r="G47" s="11"/>
      <c r="R47" s="3">
        <v>45</v>
      </c>
      <c r="S47" s="7">
        <f t="shared" ca="1" si="0"/>
        <v>0.20059806983763051</v>
      </c>
    </row>
    <row r="48" spans="5:19" x14ac:dyDescent="0.35">
      <c r="E48" s="9">
        <v>2.25</v>
      </c>
      <c r="F48" s="7">
        <f t="shared" si="1"/>
        <v>6.6011959967441358E-3</v>
      </c>
      <c r="G48" s="11"/>
      <c r="R48" s="3">
        <v>46</v>
      </c>
      <c r="S48" s="7">
        <f t="shared" ca="1" si="0"/>
        <v>1.5731222208006075</v>
      </c>
    </row>
    <row r="49" spans="5:19" x14ac:dyDescent="0.35">
      <c r="E49" s="9">
        <v>2.2999999999999998</v>
      </c>
      <c r="F49" s="7">
        <f t="shared" si="1"/>
        <v>6.2926726732122074E-3</v>
      </c>
      <c r="G49" s="11"/>
      <c r="R49" s="3">
        <v>47</v>
      </c>
      <c r="S49" s="7">
        <f t="shared" ca="1" si="0"/>
        <v>2.6056922704549965</v>
      </c>
    </row>
    <row r="50" spans="5:19" x14ac:dyDescent="0.35">
      <c r="E50" s="9">
        <v>2.35</v>
      </c>
      <c r="F50" s="7">
        <f t="shared" si="1"/>
        <v>6.001163080101457E-3</v>
      </c>
      <c r="G50" s="11"/>
      <c r="R50" s="3">
        <v>48</v>
      </c>
      <c r="S50" s="7">
        <f t="shared" ca="1" si="0"/>
        <v>0.6619123704132418</v>
      </c>
    </row>
    <row r="51" spans="5:19" x14ac:dyDescent="0.35">
      <c r="E51" s="9">
        <v>2.4</v>
      </c>
      <c r="F51" s="7">
        <f t="shared" si="1"/>
        <v>5.7256291988211361E-3</v>
      </c>
      <c r="G51" s="11"/>
      <c r="R51" s="3">
        <v>49</v>
      </c>
      <c r="S51" s="7">
        <f t="shared" ca="1" si="0"/>
        <v>4.2048174547082056</v>
      </c>
    </row>
    <row r="52" spans="5:19" x14ac:dyDescent="0.35">
      <c r="E52" s="9">
        <v>2.4500000000000002</v>
      </c>
      <c r="F52" s="7">
        <f t="shared" si="1"/>
        <v>5.4650976350140157E-3</v>
      </c>
      <c r="G52" s="11"/>
      <c r="R52" s="3">
        <v>50</v>
      </c>
      <c r="S52" s="7">
        <f t="shared" ca="1" si="0"/>
        <v>0.69461840468060054</v>
      </c>
    </row>
    <row r="53" spans="5:19" x14ac:dyDescent="0.35">
      <c r="E53" s="9">
        <v>2.5</v>
      </c>
      <c r="F53" s="7">
        <f t="shared" si="1"/>
        <v>5.2186562143916593E-3</v>
      </c>
      <c r="G53" s="11"/>
      <c r="R53" s="3">
        <v>51</v>
      </c>
      <c r="S53" s="7">
        <f t="shared" ca="1" si="0"/>
        <v>0.49743048911110938</v>
      </c>
    </row>
    <row r="54" spans="5:19" x14ac:dyDescent="0.35">
      <c r="E54" s="9">
        <v>2.5499999999999998</v>
      </c>
      <c r="F54" s="7">
        <f t="shared" si="1"/>
        <v>4.9854505838351493E-3</v>
      </c>
      <c r="G54" s="11"/>
      <c r="R54" s="3">
        <v>52</v>
      </c>
      <c r="S54" s="7">
        <f t="shared" ca="1" si="0"/>
        <v>7.4751416564609716</v>
      </c>
    </row>
    <row r="55" spans="5:19" x14ac:dyDescent="0.35">
      <c r="E55" s="9">
        <v>2.6</v>
      </c>
      <c r="F55" s="7">
        <f t="shared" si="1"/>
        <v>4.7646808661310214E-3</v>
      </c>
      <c r="G55" s="11"/>
      <c r="R55" s="3">
        <v>53</v>
      </c>
      <c r="S55" s="7">
        <f t="shared" ca="1" si="0"/>
        <v>1.8105445443145274</v>
      </c>
    </row>
    <row r="56" spans="5:19" x14ac:dyDescent="0.35">
      <c r="E56" s="9">
        <v>2.65</v>
      </c>
      <c r="F56" s="7">
        <f t="shared" si="1"/>
        <v>4.5555984034437724E-3</v>
      </c>
      <c r="G56" s="11"/>
      <c r="R56" s="3">
        <v>54</v>
      </c>
      <c r="S56" s="7">
        <f t="shared" ca="1" si="0"/>
        <v>2.0192824477896312</v>
      </c>
    </row>
    <row r="57" spans="5:19" x14ac:dyDescent="0.35">
      <c r="E57" s="9">
        <v>2.7</v>
      </c>
      <c r="F57" s="7">
        <f t="shared" si="1"/>
        <v>4.3575026142523843E-3</v>
      </c>
      <c r="G57" s="11"/>
      <c r="R57" s="3">
        <v>55</v>
      </c>
      <c r="S57" s="7">
        <f t="shared" ca="1" si="0"/>
        <v>0.70343098541427473</v>
      </c>
    </row>
    <row r="58" spans="5:19" x14ac:dyDescent="0.35">
      <c r="E58" s="9">
        <v>2.75</v>
      </c>
      <c r="F58" s="7">
        <f t="shared" si="1"/>
        <v>4.1697379804240819E-3</v>
      </c>
      <c r="G58" s="11"/>
      <c r="R58" s="3">
        <v>56</v>
      </c>
      <c r="S58" s="7">
        <f t="shared" ca="1" si="0"/>
        <v>4.7766379371829375</v>
      </c>
    </row>
    <row r="59" spans="5:19" x14ac:dyDescent="0.35">
      <c r="E59" s="9">
        <v>2.8</v>
      </c>
      <c r="F59" s="7">
        <f t="shared" si="1"/>
        <v>3.9916911748761885E-3</v>
      </c>
      <c r="G59" s="11"/>
      <c r="R59" s="3">
        <v>57</v>
      </c>
      <c r="S59" s="7">
        <f t="shared" ca="1" si="0"/>
        <v>0.89015503345683866</v>
      </c>
    </row>
    <row r="60" spans="5:19" x14ac:dyDescent="0.35">
      <c r="E60" s="9">
        <v>2.85</v>
      </c>
      <c r="F60" s="7">
        <f t="shared" si="1"/>
        <v>3.8227883354938763E-3</v>
      </c>
      <c r="G60" s="11"/>
      <c r="R60" s="3">
        <v>58</v>
      </c>
      <c r="S60" s="7">
        <f t="shared" ca="1" si="0"/>
        <v>2.515563731613244</v>
      </c>
    </row>
    <row r="61" spans="5:19" x14ac:dyDescent="0.35">
      <c r="E61" s="9">
        <v>2.9</v>
      </c>
      <c r="F61" s="7">
        <f t="shared" si="1"/>
        <v>3.662492487353064E-3</v>
      </c>
      <c r="G61" s="11"/>
      <c r="R61" s="3">
        <v>59</v>
      </c>
      <c r="S61" s="7">
        <f t="shared" ca="1" si="0"/>
        <v>1.0894899804428828</v>
      </c>
    </row>
    <row r="62" spans="5:19" x14ac:dyDescent="0.35">
      <c r="E62" s="9">
        <v>2.95</v>
      </c>
      <c r="F62" s="7">
        <f t="shared" si="1"/>
        <v>3.5103011125621197E-3</v>
      </c>
      <c r="G62" s="11"/>
      <c r="R62" s="3">
        <v>60</v>
      </c>
      <c r="S62" s="7">
        <f t="shared" ca="1" si="0"/>
        <v>1.4931047630098857</v>
      </c>
    </row>
    <row r="63" spans="5:19" x14ac:dyDescent="0.35">
      <c r="E63" s="9">
        <v>3</v>
      </c>
      <c r="F63" s="7">
        <f t="shared" si="1"/>
        <v>3.3657438650234184E-3</v>
      </c>
      <c r="G63" s="11"/>
      <c r="R63" s="3">
        <v>61</v>
      </c>
      <c r="S63" s="7">
        <f t="shared" ca="1" si="0"/>
        <v>0.6023637052643217</v>
      </c>
    </row>
    <row r="64" spans="5:19" x14ac:dyDescent="0.35">
      <c r="E64" s="9">
        <v>3.05</v>
      </c>
      <c r="F64" s="7">
        <f t="shared" si="1"/>
        <v>3.2283804259698456E-3</v>
      </c>
      <c r="G64" s="11"/>
      <c r="R64" s="3">
        <v>62</v>
      </c>
      <c r="S64" s="7">
        <f t="shared" ca="1" si="0"/>
        <v>4.807733100339961</v>
      </c>
    </row>
    <row r="65" spans="5:19" x14ac:dyDescent="0.35">
      <c r="E65" s="9">
        <v>3.1</v>
      </c>
      <c r="F65" s="7">
        <f t="shared" si="1"/>
        <v>3.0977984950930626E-3</v>
      </c>
      <c r="G65" s="11"/>
      <c r="R65" s="3">
        <v>63</v>
      </c>
      <c r="S65" s="7">
        <f t="shared" ca="1" si="0"/>
        <v>0.4165104143413399</v>
      </c>
    </row>
    <row r="66" spans="5:19" x14ac:dyDescent="0.35">
      <c r="E66" s="9">
        <v>3.15</v>
      </c>
      <c r="F66" s="7">
        <f t="shared" si="1"/>
        <v>2.973611911419427E-3</v>
      </c>
      <c r="G66" s="11"/>
      <c r="R66" s="3">
        <v>64</v>
      </c>
      <c r="S66" s="7">
        <f t="shared" ca="1" si="0"/>
        <v>2.1880766521690882</v>
      </c>
    </row>
    <row r="67" spans="5:19" x14ac:dyDescent="0.35">
      <c r="E67" s="9">
        <v>3.2</v>
      </c>
      <c r="F67" s="7">
        <f t="shared" si="1"/>
        <v>2.8554588976602568E-3</v>
      </c>
      <c r="G67" s="11"/>
      <c r="R67" s="3">
        <v>65</v>
      </c>
      <c r="S67" s="7">
        <f t="shared" ca="1" si="0"/>
        <v>0.20566684538939822</v>
      </c>
    </row>
    <row r="68" spans="5:19" x14ac:dyDescent="0.35">
      <c r="E68" s="9">
        <v>3.25</v>
      </c>
      <c r="F68" s="7">
        <f t="shared" si="1"/>
        <v>2.7430004215451831E-3</v>
      </c>
      <c r="G68" s="11"/>
      <c r="R68" s="3">
        <v>66</v>
      </c>
      <c r="S68" s="7">
        <f t="shared" ref="S68:S131" ca="1" si="2">_xlfn.F.INV(RAND(),C$3,C$4)</f>
        <v>0.42842109821552216</v>
      </c>
    </row>
    <row r="69" spans="5:19" x14ac:dyDescent="0.35">
      <c r="E69" s="9">
        <v>3.3</v>
      </c>
      <c r="F69" s="7">
        <f t="shared" ref="F69:F102" si="3">_xlfn.F.DIST(E69,C$3,C$4,TRUE)-_xlfn.F.DIST(E68,C$3,C$4,TRUE)</f>
        <v>2.6359186675947166E-3</v>
      </c>
      <c r="G69" s="11"/>
      <c r="R69" s="3">
        <v>67</v>
      </c>
      <c r="S69" s="7">
        <f t="shared" ca="1" si="2"/>
        <v>1.1037209370782883</v>
      </c>
    </row>
    <row r="70" spans="5:19" x14ac:dyDescent="0.35">
      <c r="E70" s="9">
        <v>3.35</v>
      </c>
      <c r="F70" s="7">
        <f t="shared" si="3"/>
        <v>2.5339156128242335E-3</v>
      </c>
      <c r="G70" s="11"/>
      <c r="R70" s="3">
        <v>68</v>
      </c>
      <c r="S70" s="7">
        <f t="shared" ca="1" si="2"/>
        <v>0.65903281626565591</v>
      </c>
    </row>
    <row r="71" spans="5:19" x14ac:dyDescent="0.35">
      <c r="E71" s="9">
        <v>3.4</v>
      </c>
      <c r="F71" s="7">
        <f t="shared" si="3"/>
        <v>2.4367117000191341E-3</v>
      </c>
      <c r="G71" s="11"/>
      <c r="R71" s="3">
        <v>69</v>
      </c>
      <c r="S71" s="7">
        <f t="shared" ca="1" si="2"/>
        <v>0.29908330516540299</v>
      </c>
    </row>
    <row r="72" spans="5:19" x14ac:dyDescent="0.35">
      <c r="E72" s="9">
        <v>3.45</v>
      </c>
      <c r="F72" s="7">
        <f t="shared" si="3"/>
        <v>2.3440446024117767E-3</v>
      </c>
      <c r="G72" s="11"/>
      <c r="R72" s="3">
        <v>70</v>
      </c>
      <c r="S72" s="7">
        <f t="shared" ca="1" si="2"/>
        <v>0.49496071312205159</v>
      </c>
    </row>
    <row r="73" spans="5:19" x14ac:dyDescent="0.35">
      <c r="E73" s="9">
        <v>3.5</v>
      </c>
      <c r="F73" s="7">
        <f t="shared" si="3"/>
        <v>2.2556680738249346E-3</v>
      </c>
      <c r="G73" s="11"/>
      <c r="R73" s="3">
        <v>71</v>
      </c>
      <c r="S73" s="7">
        <f t="shared" ca="1" si="2"/>
        <v>0.98805852215446655</v>
      </c>
    </row>
    <row r="74" spans="5:19" x14ac:dyDescent="0.35">
      <c r="E74" s="9">
        <v>3.55</v>
      </c>
      <c r="F74" s="7">
        <f t="shared" si="3"/>
        <v>2.1713508786245228E-3</v>
      </c>
      <c r="G74" s="11"/>
      <c r="R74" s="3">
        <v>72</v>
      </c>
      <c r="S74" s="7">
        <f t="shared" ca="1" si="2"/>
        <v>2.9937825803832969</v>
      </c>
    </row>
    <row r="75" spans="5:19" x14ac:dyDescent="0.35">
      <c r="E75" s="9">
        <v>3.6</v>
      </c>
      <c r="F75" s="7">
        <f t="shared" si="3"/>
        <v>2.0908757960931279E-3</v>
      </c>
      <c r="G75" s="11"/>
      <c r="R75" s="3">
        <v>73</v>
      </c>
      <c r="S75" s="7">
        <f t="shared" ca="1" si="2"/>
        <v>1.8113119454108104</v>
      </c>
    </row>
    <row r="76" spans="5:19" x14ac:dyDescent="0.35">
      <c r="E76" s="9">
        <v>3.65</v>
      </c>
      <c r="F76" s="7">
        <f t="shared" si="3"/>
        <v>2.0140386941377431E-3</v>
      </c>
      <c r="G76" s="11"/>
      <c r="R76" s="3">
        <v>74</v>
      </c>
      <c r="S76" s="7">
        <f t="shared" ca="1" si="2"/>
        <v>2.0766715557149671</v>
      </c>
    </row>
    <row r="77" spans="5:19" x14ac:dyDescent="0.35">
      <c r="E77" s="9">
        <v>3.7</v>
      </c>
      <c r="F77" s="7">
        <f t="shared" si="3"/>
        <v>1.9406476675331019E-3</v>
      </c>
      <c r="G77" s="11"/>
      <c r="R77" s="3">
        <v>75</v>
      </c>
      <c r="S77" s="7">
        <f t="shared" ca="1" si="2"/>
        <v>2.4434629837786748</v>
      </c>
    </row>
    <row r="78" spans="5:19" x14ac:dyDescent="0.35">
      <c r="E78" s="9">
        <v>3.75</v>
      </c>
      <c r="F78" s="7">
        <f t="shared" si="3"/>
        <v>1.8705222361904417E-3</v>
      </c>
      <c r="G78" s="11"/>
      <c r="R78" s="3">
        <v>76</v>
      </c>
      <c r="S78" s="7">
        <f t="shared" ca="1" si="2"/>
        <v>3.0567577229186162</v>
      </c>
    </row>
    <row r="79" spans="5:19" x14ac:dyDescent="0.35">
      <c r="E79" s="9">
        <v>3.8</v>
      </c>
      <c r="F79" s="7">
        <f t="shared" si="3"/>
        <v>1.8034925992281847E-3</v>
      </c>
      <c r="G79" s="11"/>
      <c r="R79" s="3">
        <v>77</v>
      </c>
      <c r="S79" s="7">
        <f t="shared" ca="1" si="2"/>
        <v>0.57318182808133566</v>
      </c>
    </row>
    <row r="80" spans="5:19" x14ac:dyDescent="0.35">
      <c r="E80" s="9">
        <v>3.85</v>
      </c>
      <c r="F80" s="7">
        <f t="shared" si="3"/>
        <v>1.7393989408913679E-3</v>
      </c>
      <c r="G80" s="11"/>
      <c r="R80" s="3">
        <v>78</v>
      </c>
      <c r="S80" s="7">
        <f t="shared" ca="1" si="2"/>
        <v>0.63479257202341821</v>
      </c>
    </row>
    <row r="81" spans="5:19" x14ac:dyDescent="0.35">
      <c r="E81" s="9">
        <v>3.9</v>
      </c>
      <c r="F81" s="7">
        <f t="shared" si="3"/>
        <v>1.6780907846277726E-3</v>
      </c>
      <c r="G81" s="11"/>
      <c r="R81" s="3">
        <v>79</v>
      </c>
      <c r="S81" s="7">
        <f t="shared" ca="1" si="2"/>
        <v>2.2140708023467703</v>
      </c>
    </row>
    <row r="82" spans="5:19" x14ac:dyDescent="0.35">
      <c r="E82" s="9">
        <v>3.95</v>
      </c>
      <c r="F82" s="7">
        <f t="shared" si="3"/>
        <v>1.6194263918856144E-3</v>
      </c>
      <c r="G82" s="11"/>
      <c r="R82" s="3">
        <v>80</v>
      </c>
      <c r="S82" s="7">
        <f t="shared" ca="1" si="2"/>
        <v>1.8059710360890004</v>
      </c>
    </row>
    <row r="83" spans="5:19" x14ac:dyDescent="0.35">
      <c r="E83" s="9">
        <v>4</v>
      </c>
      <c r="F83" s="7">
        <f t="shared" si="3"/>
        <v>1.5632722024255807E-3</v>
      </c>
      <c r="G83" s="11"/>
      <c r="R83" s="3">
        <v>81</v>
      </c>
      <c r="S83" s="7">
        <f t="shared" ca="1" si="2"/>
        <v>0.20400463635464286</v>
      </c>
    </row>
    <row r="84" spans="5:19" x14ac:dyDescent="0.35">
      <c r="E84" s="9">
        <v>4.05</v>
      </c>
      <c r="F84" s="7">
        <f t="shared" si="3"/>
        <v>1.5095023131710406E-3</v>
      </c>
      <c r="G84" s="11"/>
      <c r="R84" s="3">
        <v>82</v>
      </c>
      <c r="S84" s="7">
        <f t="shared" ca="1" si="2"/>
        <v>1.2587625439121592</v>
      </c>
    </row>
    <row r="85" spans="5:19" x14ac:dyDescent="0.35">
      <c r="E85" s="9">
        <v>4.0999999999999996</v>
      </c>
      <c r="F85" s="7">
        <f t="shared" si="3"/>
        <v>1.4579979928283082E-3</v>
      </c>
      <c r="G85" s="11"/>
      <c r="R85" s="3">
        <v>83</v>
      </c>
      <c r="S85" s="7">
        <f t="shared" ca="1" si="2"/>
        <v>0.91138623867352819</v>
      </c>
    </row>
    <row r="86" spans="5:19" x14ac:dyDescent="0.35">
      <c r="E86" s="9">
        <v>4.1500000000000004</v>
      </c>
      <c r="F86" s="7">
        <f t="shared" si="3"/>
        <v>1.4086472297069053E-3</v>
      </c>
      <c r="G86" s="11"/>
      <c r="R86" s="3">
        <v>84</v>
      </c>
      <c r="S86" s="7">
        <f t="shared" ca="1" si="2"/>
        <v>0.42333644244381513</v>
      </c>
    </row>
    <row r="87" spans="5:19" x14ac:dyDescent="0.35">
      <c r="E87" s="9">
        <v>4.2</v>
      </c>
      <c r="F87" s="7">
        <f t="shared" si="3"/>
        <v>1.3613443103559497E-3</v>
      </c>
      <c r="G87" s="11"/>
      <c r="R87" s="3">
        <v>85</v>
      </c>
      <c r="S87" s="7">
        <f t="shared" ca="1" si="2"/>
        <v>0.8458177481953032</v>
      </c>
    </row>
    <row r="88" spans="5:19" x14ac:dyDescent="0.35">
      <c r="E88" s="9">
        <v>4.25</v>
      </c>
      <c r="F88" s="7">
        <f t="shared" si="3"/>
        <v>1.3159894268054417E-3</v>
      </c>
      <c r="G88" s="11"/>
      <c r="R88" s="3">
        <v>86</v>
      </c>
      <c r="S88" s="7">
        <f t="shared" ca="1" si="2"/>
        <v>0.30848673956093609</v>
      </c>
    </row>
    <row r="89" spans="5:19" x14ac:dyDescent="0.35">
      <c r="E89" s="9">
        <v>4.3</v>
      </c>
      <c r="F89" s="7">
        <f t="shared" si="3"/>
        <v>1.2724883103578666E-3</v>
      </c>
      <c r="G89" s="11"/>
      <c r="R89" s="3">
        <v>87</v>
      </c>
      <c r="S89" s="7">
        <f t="shared" ca="1" si="2"/>
        <v>0.69867529209327595</v>
      </c>
    </row>
    <row r="90" spans="5:19" x14ac:dyDescent="0.35">
      <c r="E90" s="9">
        <v>4.3499999999999996</v>
      </c>
      <c r="F90" s="7">
        <f t="shared" si="3"/>
        <v>1.2307518900382952E-3</v>
      </c>
      <c r="G90" s="11"/>
      <c r="R90" s="3">
        <v>88</v>
      </c>
      <c r="S90" s="7">
        <f t="shared" ca="1" si="2"/>
        <v>1.0061991195255291</v>
      </c>
    </row>
    <row r="91" spans="5:19" x14ac:dyDescent="0.35">
      <c r="E91" s="9">
        <v>4.4000000000000004</v>
      </c>
      <c r="F91" s="7">
        <f t="shared" si="3"/>
        <v>1.1906959739327316E-3</v>
      </c>
      <c r="G91" s="11"/>
      <c r="R91" s="3">
        <v>89</v>
      </c>
      <c r="S91" s="7">
        <f t="shared" ca="1" si="2"/>
        <v>0.93916223812678246</v>
      </c>
    </row>
    <row r="92" spans="5:19" x14ac:dyDescent="0.35">
      <c r="E92" s="9">
        <v>4.45</v>
      </c>
      <c r="F92" s="7">
        <f t="shared" si="3"/>
        <v>1.1522409517902288E-3</v>
      </c>
      <c r="G92" s="11"/>
      <c r="R92" s="3">
        <v>90</v>
      </c>
      <c r="S92" s="7">
        <f t="shared" ca="1" si="2"/>
        <v>1.338141879668258</v>
      </c>
    </row>
    <row r="93" spans="5:19" x14ac:dyDescent="0.35">
      <c r="E93" s="9">
        <v>4.5</v>
      </c>
      <c r="F93" s="7">
        <f t="shared" si="3"/>
        <v>1.115311517375206E-3</v>
      </c>
      <c r="G93" s="11"/>
      <c r="R93" s="3">
        <v>91</v>
      </c>
      <c r="S93" s="7">
        <f t="shared" ca="1" si="2"/>
        <v>0.95537653754113316</v>
      </c>
    </row>
    <row r="94" spans="5:19" x14ac:dyDescent="0.35">
      <c r="E94" s="9">
        <v>4.55</v>
      </c>
      <c r="F94" s="7">
        <f t="shared" si="3"/>
        <v>1.0798364091695323E-3</v>
      </c>
      <c r="G94" s="11"/>
      <c r="R94" s="3">
        <v>92</v>
      </c>
      <c r="S94" s="7">
        <f t="shared" ca="1" si="2"/>
        <v>2.6388412027468142</v>
      </c>
    </row>
    <row r="95" spans="5:19" x14ac:dyDescent="0.35">
      <c r="E95" s="9">
        <v>4.5999999999999996</v>
      </c>
      <c r="F95" s="7">
        <f t="shared" si="3"/>
        <v>1.0457481681318548E-3</v>
      </c>
      <c r="G95" s="11"/>
      <c r="R95" s="3">
        <v>93</v>
      </c>
      <c r="S95" s="7">
        <f t="shared" ca="1" si="2"/>
        <v>8.1024608599282399E-2</v>
      </c>
    </row>
    <row r="96" spans="5:19" x14ac:dyDescent="0.35">
      <c r="E96" s="9">
        <v>4.6500000000000004</v>
      </c>
      <c r="F96" s="7">
        <f t="shared" si="3"/>
        <v>1.0129829113070254E-3</v>
      </c>
      <c r="G96" s="11"/>
      <c r="R96" s="3">
        <v>94</v>
      </c>
      <c r="S96" s="7">
        <f t="shared" ca="1" si="2"/>
        <v>0.65886434875160471</v>
      </c>
    </row>
    <row r="97" spans="5:19" x14ac:dyDescent="0.35">
      <c r="E97" s="9">
        <v>4.7</v>
      </c>
      <c r="F97" s="7">
        <f t="shared" si="3"/>
        <v>9.8148012018195452E-4</v>
      </c>
      <c r="G97" s="11"/>
      <c r="R97" s="3">
        <v>95</v>
      </c>
      <c r="S97" s="7">
        <f t="shared" ca="1" si="2"/>
        <v>0.47132488811278811</v>
      </c>
    </row>
    <row r="98" spans="5:19" x14ac:dyDescent="0.35">
      <c r="E98" s="9">
        <v>4.75</v>
      </c>
      <c r="F98" s="7">
        <f t="shared" si="3"/>
        <v>9.5118244274861041E-4</v>
      </c>
      <c r="G98" s="11"/>
      <c r="R98" s="3">
        <v>96</v>
      </c>
      <c r="S98" s="7">
        <f t="shared" ca="1" si="2"/>
        <v>0.42799754961419217</v>
      </c>
    </row>
    <row r="99" spans="5:19" x14ac:dyDescent="0.35">
      <c r="E99" s="9">
        <v>4.8</v>
      </c>
      <c r="F99" s="7">
        <f t="shared" si="3"/>
        <v>9.2203550832714587E-4</v>
      </c>
      <c r="G99" s="11"/>
      <c r="R99" s="3">
        <v>97</v>
      </c>
      <c r="S99" s="7">
        <f t="shared" ca="1" si="2"/>
        <v>1.5946919537044664</v>
      </c>
    </row>
    <row r="100" spans="5:19" x14ac:dyDescent="0.35">
      <c r="E100" s="9">
        <v>4.8499999999999996</v>
      </c>
      <c r="F100" s="7">
        <f t="shared" si="3"/>
        <v>8.9398775425875154E-4</v>
      </c>
      <c r="G100" s="11"/>
      <c r="R100" s="3">
        <v>98</v>
      </c>
      <c r="S100" s="7">
        <f t="shared" ca="1" si="2"/>
        <v>0.32057482776451984</v>
      </c>
    </row>
    <row r="101" spans="5:19" x14ac:dyDescent="0.35">
      <c r="E101" s="9">
        <v>4.9000000000000004</v>
      </c>
      <c r="F101" s="7">
        <f t="shared" si="3"/>
        <v>8.6699026365399945E-4</v>
      </c>
      <c r="G101" s="11"/>
      <c r="R101" s="3">
        <v>99</v>
      </c>
      <c r="S101" s="7">
        <f t="shared" ca="1" si="2"/>
        <v>0.88607331057665484</v>
      </c>
    </row>
    <row r="102" spans="5:19" x14ac:dyDescent="0.35">
      <c r="E102" s="9">
        <v>4.95</v>
      </c>
      <c r="F102" s="7">
        <f t="shared" si="3"/>
        <v>8.4099661342929011E-4</v>
      </c>
      <c r="G102" s="11"/>
      <c r="R102" s="3">
        <v>100</v>
      </c>
      <c r="S102" s="7">
        <f t="shared" ca="1" si="2"/>
        <v>0.19146526315741239</v>
      </c>
    </row>
    <row r="103" spans="5:19" x14ac:dyDescent="0.35">
      <c r="R103" s="3">
        <v>101</v>
      </c>
      <c r="S103" s="7">
        <f t="shared" ca="1" si="2"/>
        <v>0.29154285772784017</v>
      </c>
    </row>
    <row r="104" spans="5:19" x14ac:dyDescent="0.35">
      <c r="R104" s="3">
        <v>102</v>
      </c>
      <c r="S104" s="7">
        <f t="shared" ca="1" si="2"/>
        <v>1.1434988905637016</v>
      </c>
    </row>
    <row r="105" spans="5:19" x14ac:dyDescent="0.35">
      <c r="R105" s="3">
        <v>103</v>
      </c>
      <c r="S105" s="7">
        <f t="shared" ca="1" si="2"/>
        <v>5.0459674456683086</v>
      </c>
    </row>
    <row r="106" spans="5:19" x14ac:dyDescent="0.35">
      <c r="R106" s="3">
        <v>104</v>
      </c>
      <c r="S106" s="7">
        <f t="shared" ca="1" si="2"/>
        <v>0.73314085221487135</v>
      </c>
    </row>
    <row r="107" spans="5:19" x14ac:dyDescent="0.35">
      <c r="R107" s="3">
        <v>105</v>
      </c>
      <c r="S107" s="7">
        <f t="shared" ca="1" si="2"/>
        <v>0.70130457438265315</v>
      </c>
    </row>
    <row r="108" spans="5:19" x14ac:dyDescent="0.35">
      <c r="R108" s="3">
        <v>106</v>
      </c>
      <c r="S108" s="7">
        <f t="shared" ca="1" si="2"/>
        <v>0.58077201726851468</v>
      </c>
    </row>
    <row r="109" spans="5:19" x14ac:dyDescent="0.35">
      <c r="R109" s="3">
        <v>107</v>
      </c>
      <c r="S109" s="7">
        <f t="shared" ca="1" si="2"/>
        <v>0.23144999894632731</v>
      </c>
    </row>
    <row r="110" spans="5:19" x14ac:dyDescent="0.35">
      <c r="R110" s="3">
        <v>108</v>
      </c>
      <c r="S110" s="7">
        <f t="shared" ca="1" si="2"/>
        <v>3.3203043566875547</v>
      </c>
    </row>
    <row r="111" spans="5:19" x14ac:dyDescent="0.35">
      <c r="R111" s="3">
        <v>109</v>
      </c>
      <c r="S111" s="7">
        <f t="shared" ca="1" si="2"/>
        <v>1.3404350547728607</v>
      </c>
    </row>
    <row r="112" spans="5:19" x14ac:dyDescent="0.35">
      <c r="R112" s="3">
        <v>110</v>
      </c>
      <c r="S112" s="7">
        <f t="shared" ca="1" si="2"/>
        <v>1.5946106747118036</v>
      </c>
    </row>
    <row r="113" spans="18:19" x14ac:dyDescent="0.35">
      <c r="R113" s="3">
        <v>111</v>
      </c>
      <c r="S113" s="7">
        <f t="shared" ca="1" si="2"/>
        <v>5.048595111946963E-2</v>
      </c>
    </row>
    <row r="114" spans="18:19" x14ac:dyDescent="0.35">
      <c r="R114" s="3">
        <v>112</v>
      </c>
      <c r="S114" s="7">
        <f t="shared" ca="1" si="2"/>
        <v>1.0406444067020442</v>
      </c>
    </row>
    <row r="115" spans="18:19" x14ac:dyDescent="0.35">
      <c r="R115" s="3">
        <v>113</v>
      </c>
      <c r="S115" s="7">
        <f t="shared" ca="1" si="2"/>
        <v>0.57379176895342521</v>
      </c>
    </row>
    <row r="116" spans="18:19" x14ac:dyDescent="0.35">
      <c r="R116" s="3">
        <v>114</v>
      </c>
      <c r="S116" s="7">
        <f t="shared" ca="1" si="2"/>
        <v>0.28690111788307787</v>
      </c>
    </row>
    <row r="117" spans="18:19" x14ac:dyDescent="0.35">
      <c r="R117" s="3">
        <v>115</v>
      </c>
      <c r="S117" s="7">
        <f t="shared" ca="1" si="2"/>
        <v>0.451272007778527</v>
      </c>
    </row>
    <row r="118" spans="18:19" x14ac:dyDescent="0.35">
      <c r="R118" s="3">
        <v>116</v>
      </c>
      <c r="S118" s="7">
        <f t="shared" ca="1" si="2"/>
        <v>0.62554646638100264</v>
      </c>
    </row>
    <row r="119" spans="18:19" x14ac:dyDescent="0.35">
      <c r="R119" s="3">
        <v>117</v>
      </c>
      <c r="S119" s="7">
        <f t="shared" ca="1" si="2"/>
        <v>4.3315888069639659</v>
      </c>
    </row>
    <row r="120" spans="18:19" x14ac:dyDescent="0.35">
      <c r="R120" s="3">
        <v>118</v>
      </c>
      <c r="S120" s="7">
        <f t="shared" ca="1" si="2"/>
        <v>0.62316611100499164</v>
      </c>
    </row>
    <row r="121" spans="18:19" x14ac:dyDescent="0.35">
      <c r="R121" s="3">
        <v>119</v>
      </c>
      <c r="S121" s="7">
        <f t="shared" ca="1" si="2"/>
        <v>1.363796814940718</v>
      </c>
    </row>
    <row r="122" spans="18:19" x14ac:dyDescent="0.35">
      <c r="R122" s="3">
        <v>120</v>
      </c>
      <c r="S122" s="7">
        <f t="shared" ca="1" si="2"/>
        <v>2.1568190226928574</v>
      </c>
    </row>
    <row r="123" spans="18:19" x14ac:dyDescent="0.35">
      <c r="R123" s="3">
        <v>121</v>
      </c>
      <c r="S123" s="7">
        <f t="shared" ca="1" si="2"/>
        <v>2.1629993917738362</v>
      </c>
    </row>
    <row r="124" spans="18:19" x14ac:dyDescent="0.35">
      <c r="R124" s="3">
        <v>122</v>
      </c>
      <c r="S124" s="7">
        <f t="shared" ca="1" si="2"/>
        <v>0.94003772212518955</v>
      </c>
    </row>
    <row r="125" spans="18:19" x14ac:dyDescent="0.35">
      <c r="R125" s="3">
        <v>123</v>
      </c>
      <c r="S125" s="7">
        <f t="shared" ca="1" si="2"/>
        <v>0.60353251507616545</v>
      </c>
    </row>
    <row r="126" spans="18:19" x14ac:dyDescent="0.35">
      <c r="R126" s="3">
        <v>124</v>
      </c>
      <c r="S126" s="7">
        <f t="shared" ca="1" si="2"/>
        <v>0.32247672739998395</v>
      </c>
    </row>
    <row r="127" spans="18:19" x14ac:dyDescent="0.35">
      <c r="R127" s="3">
        <v>125</v>
      </c>
      <c r="S127" s="7">
        <f t="shared" ca="1" si="2"/>
        <v>1.4544176276452767</v>
      </c>
    </row>
    <row r="128" spans="18:19" x14ac:dyDescent="0.35">
      <c r="R128" s="3">
        <v>126</v>
      </c>
      <c r="S128" s="7">
        <f t="shared" ca="1" si="2"/>
        <v>27.347579818039986</v>
      </c>
    </row>
    <row r="129" spans="18:19" x14ac:dyDescent="0.35">
      <c r="R129" s="3">
        <v>127</v>
      </c>
      <c r="S129" s="7">
        <f t="shared" ca="1" si="2"/>
        <v>0.24627672776338835</v>
      </c>
    </row>
    <row r="130" spans="18:19" x14ac:dyDescent="0.35">
      <c r="R130" s="3">
        <v>128</v>
      </c>
      <c r="S130" s="7">
        <f t="shared" ca="1" si="2"/>
        <v>0.62938061865455819</v>
      </c>
    </row>
    <row r="131" spans="18:19" x14ac:dyDescent="0.35">
      <c r="R131" s="3">
        <v>129</v>
      </c>
      <c r="S131" s="7">
        <f t="shared" ca="1" si="2"/>
        <v>0.88915879323122793</v>
      </c>
    </row>
    <row r="132" spans="18:19" x14ac:dyDescent="0.35">
      <c r="R132" s="3">
        <v>130</v>
      </c>
      <c r="S132" s="7">
        <f t="shared" ref="S132:S195" ca="1" si="4">_xlfn.F.INV(RAND(),C$3,C$4)</f>
        <v>1.2278153591569929</v>
      </c>
    </row>
    <row r="133" spans="18:19" x14ac:dyDescent="0.35">
      <c r="R133" s="3">
        <v>131</v>
      </c>
      <c r="S133" s="7">
        <f t="shared" ca="1" si="4"/>
        <v>2.8612697306868191</v>
      </c>
    </row>
    <row r="134" spans="18:19" x14ac:dyDescent="0.35">
      <c r="R134" s="3">
        <v>132</v>
      </c>
      <c r="S134" s="7">
        <f t="shared" ca="1" si="4"/>
        <v>3.5507594388346462</v>
      </c>
    </row>
    <row r="135" spans="18:19" x14ac:dyDescent="0.35">
      <c r="R135" s="3">
        <v>133</v>
      </c>
      <c r="S135" s="7">
        <f t="shared" ca="1" si="4"/>
        <v>0.55543683754805395</v>
      </c>
    </row>
    <row r="136" spans="18:19" x14ac:dyDescent="0.35">
      <c r="R136" s="3">
        <v>134</v>
      </c>
      <c r="S136" s="7">
        <f t="shared" ca="1" si="4"/>
        <v>0.66782341303640924</v>
      </c>
    </row>
    <row r="137" spans="18:19" x14ac:dyDescent="0.35">
      <c r="R137" s="3">
        <v>135</v>
      </c>
      <c r="S137" s="7">
        <f t="shared" ca="1" si="4"/>
        <v>0.93075377780643054</v>
      </c>
    </row>
    <row r="138" spans="18:19" x14ac:dyDescent="0.35">
      <c r="R138" s="3">
        <v>136</v>
      </c>
      <c r="S138" s="7">
        <f t="shared" ca="1" si="4"/>
        <v>1.9578864221256851</v>
      </c>
    </row>
    <row r="139" spans="18:19" x14ac:dyDescent="0.35">
      <c r="R139" s="3">
        <v>137</v>
      </c>
      <c r="S139" s="7">
        <f t="shared" ca="1" si="4"/>
        <v>0.75625715539190208</v>
      </c>
    </row>
    <row r="140" spans="18:19" x14ac:dyDescent="0.35">
      <c r="R140" s="3">
        <v>138</v>
      </c>
      <c r="S140" s="7">
        <f t="shared" ca="1" si="4"/>
        <v>0.44252957414715599</v>
      </c>
    </row>
    <row r="141" spans="18:19" x14ac:dyDescent="0.35">
      <c r="R141" s="3">
        <v>139</v>
      </c>
      <c r="S141" s="7">
        <f t="shared" ca="1" si="4"/>
        <v>0.97923048570210358</v>
      </c>
    </row>
    <row r="142" spans="18:19" x14ac:dyDescent="0.35">
      <c r="R142" s="3">
        <v>140</v>
      </c>
      <c r="S142" s="7">
        <f t="shared" ca="1" si="4"/>
        <v>0.61297380100745169</v>
      </c>
    </row>
    <row r="143" spans="18:19" x14ac:dyDescent="0.35">
      <c r="R143" s="3">
        <v>141</v>
      </c>
      <c r="S143" s="7">
        <f t="shared" ca="1" si="4"/>
        <v>1.1635803282768988</v>
      </c>
    </row>
    <row r="144" spans="18:19" x14ac:dyDescent="0.35">
      <c r="R144" s="3">
        <v>142</v>
      </c>
      <c r="S144" s="7">
        <f t="shared" ca="1" si="4"/>
        <v>1.8753897989460642</v>
      </c>
    </row>
    <row r="145" spans="18:19" x14ac:dyDescent="0.35">
      <c r="R145" s="3">
        <v>143</v>
      </c>
      <c r="S145" s="7">
        <f t="shared" ca="1" si="4"/>
        <v>1.0743866070900863</v>
      </c>
    </row>
    <row r="146" spans="18:19" x14ac:dyDescent="0.35">
      <c r="R146" s="3">
        <v>144</v>
      </c>
      <c r="S146" s="7">
        <f t="shared" ca="1" si="4"/>
        <v>0.46346827121999989</v>
      </c>
    </row>
    <row r="147" spans="18:19" x14ac:dyDescent="0.35">
      <c r="R147" s="3">
        <v>145</v>
      </c>
      <c r="S147" s="7">
        <f t="shared" ca="1" si="4"/>
        <v>0.82376765612574832</v>
      </c>
    </row>
    <row r="148" spans="18:19" x14ac:dyDescent="0.35">
      <c r="R148" s="3">
        <v>146</v>
      </c>
      <c r="S148" s="7">
        <f t="shared" ca="1" si="4"/>
        <v>0.59619849364626876</v>
      </c>
    </row>
    <row r="149" spans="18:19" x14ac:dyDescent="0.35">
      <c r="R149" s="3">
        <v>147</v>
      </c>
      <c r="S149" s="7">
        <f t="shared" ca="1" si="4"/>
        <v>1.4251217137012249</v>
      </c>
    </row>
    <row r="150" spans="18:19" x14ac:dyDescent="0.35">
      <c r="R150" s="3">
        <v>148</v>
      </c>
      <c r="S150" s="7">
        <f t="shared" ca="1" si="4"/>
        <v>0.11103504561030174</v>
      </c>
    </row>
    <row r="151" spans="18:19" x14ac:dyDescent="0.35">
      <c r="R151" s="3">
        <v>149</v>
      </c>
      <c r="S151" s="7">
        <f t="shared" ca="1" si="4"/>
        <v>0.60908112926454316</v>
      </c>
    </row>
    <row r="152" spans="18:19" x14ac:dyDescent="0.35">
      <c r="R152" s="3">
        <v>150</v>
      </c>
      <c r="S152" s="7">
        <f t="shared" ca="1" si="4"/>
        <v>0.76754126273397982</v>
      </c>
    </row>
    <row r="153" spans="18:19" x14ac:dyDescent="0.35">
      <c r="R153" s="3">
        <v>151</v>
      </c>
      <c r="S153" s="7">
        <f t="shared" ca="1" si="4"/>
        <v>0.56541613007081781</v>
      </c>
    </row>
    <row r="154" spans="18:19" x14ac:dyDescent="0.35">
      <c r="R154" s="3">
        <v>152</v>
      </c>
      <c r="S154" s="7">
        <f t="shared" ca="1" si="4"/>
        <v>0.86914285272304082</v>
      </c>
    </row>
    <row r="155" spans="18:19" x14ac:dyDescent="0.35">
      <c r="R155" s="3">
        <v>153</v>
      </c>
      <c r="S155" s="7">
        <f t="shared" ca="1" si="4"/>
        <v>0.74896897377996297</v>
      </c>
    </row>
    <row r="156" spans="18:19" x14ac:dyDescent="0.35">
      <c r="R156" s="3">
        <v>154</v>
      </c>
      <c r="S156" s="7">
        <f t="shared" ca="1" si="4"/>
        <v>1.1347774272283375</v>
      </c>
    </row>
    <row r="157" spans="18:19" x14ac:dyDescent="0.35">
      <c r="R157" s="3">
        <v>155</v>
      </c>
      <c r="S157" s="7">
        <f t="shared" ca="1" si="4"/>
        <v>1.9597344438884869</v>
      </c>
    </row>
    <row r="158" spans="18:19" x14ac:dyDescent="0.35">
      <c r="R158" s="3">
        <v>156</v>
      </c>
      <c r="S158" s="7">
        <f t="shared" ca="1" si="4"/>
        <v>0.1290602128166389</v>
      </c>
    </row>
    <row r="159" spans="18:19" x14ac:dyDescent="0.35">
      <c r="R159" s="3">
        <v>157</v>
      </c>
      <c r="S159" s="7">
        <f t="shared" ca="1" si="4"/>
        <v>0.86437189314680396</v>
      </c>
    </row>
    <row r="160" spans="18:19" x14ac:dyDescent="0.35">
      <c r="R160" s="3">
        <v>158</v>
      </c>
      <c r="S160" s="7">
        <f t="shared" ca="1" si="4"/>
        <v>1.8797830937546156</v>
      </c>
    </row>
    <row r="161" spans="18:19" x14ac:dyDescent="0.35">
      <c r="R161" s="3">
        <v>159</v>
      </c>
      <c r="S161" s="7">
        <f t="shared" ca="1" si="4"/>
        <v>0.49551541543480898</v>
      </c>
    </row>
    <row r="162" spans="18:19" x14ac:dyDescent="0.35">
      <c r="R162" s="3">
        <v>160</v>
      </c>
      <c r="S162" s="7">
        <f t="shared" ca="1" si="4"/>
        <v>1.1063102142057957</v>
      </c>
    </row>
    <row r="163" spans="18:19" x14ac:dyDescent="0.35">
      <c r="R163" s="3">
        <v>161</v>
      </c>
      <c r="S163" s="7">
        <f t="shared" ca="1" si="4"/>
        <v>1.1911968968389353</v>
      </c>
    </row>
    <row r="164" spans="18:19" x14ac:dyDescent="0.35">
      <c r="R164" s="3">
        <v>162</v>
      </c>
      <c r="S164" s="7">
        <f t="shared" ca="1" si="4"/>
        <v>0.55473420740452106</v>
      </c>
    </row>
    <row r="165" spans="18:19" x14ac:dyDescent="0.35">
      <c r="R165" s="3">
        <v>163</v>
      </c>
      <c r="S165" s="7">
        <f t="shared" ca="1" si="4"/>
        <v>4.6305755153079762</v>
      </c>
    </row>
    <row r="166" spans="18:19" x14ac:dyDescent="0.35">
      <c r="R166" s="3">
        <v>164</v>
      </c>
      <c r="S166" s="7">
        <f t="shared" ca="1" si="4"/>
        <v>1.5866261200393037</v>
      </c>
    </row>
    <row r="167" spans="18:19" x14ac:dyDescent="0.35">
      <c r="R167" s="3">
        <v>165</v>
      </c>
      <c r="S167" s="7">
        <f t="shared" ca="1" si="4"/>
        <v>3.9306627610380565</v>
      </c>
    </row>
    <row r="168" spans="18:19" x14ac:dyDescent="0.35">
      <c r="R168" s="3">
        <v>166</v>
      </c>
      <c r="S168" s="7">
        <f t="shared" ca="1" si="4"/>
        <v>1.098117698867243</v>
      </c>
    </row>
    <row r="169" spans="18:19" x14ac:dyDescent="0.35">
      <c r="R169" s="3">
        <v>167</v>
      </c>
      <c r="S169" s="7">
        <f t="shared" ca="1" si="4"/>
        <v>0.9293560441642319</v>
      </c>
    </row>
    <row r="170" spans="18:19" x14ac:dyDescent="0.35">
      <c r="R170" s="3">
        <v>168</v>
      </c>
      <c r="S170" s="7">
        <f t="shared" ca="1" si="4"/>
        <v>0.67096787478773445</v>
      </c>
    </row>
    <row r="171" spans="18:19" x14ac:dyDescent="0.35">
      <c r="R171" s="3">
        <v>169</v>
      </c>
      <c r="S171" s="7">
        <f t="shared" ca="1" si="4"/>
        <v>1.9638845737035024</v>
      </c>
    </row>
    <row r="172" spans="18:19" x14ac:dyDescent="0.35">
      <c r="R172" s="3">
        <v>170</v>
      </c>
      <c r="S172" s="7">
        <f t="shared" ca="1" si="4"/>
        <v>0.66361317707761747</v>
      </c>
    </row>
    <row r="173" spans="18:19" x14ac:dyDescent="0.35">
      <c r="R173" s="3">
        <v>171</v>
      </c>
      <c r="S173" s="7">
        <f t="shared" ca="1" si="4"/>
        <v>0.94605217376221495</v>
      </c>
    </row>
    <row r="174" spans="18:19" x14ac:dyDescent="0.35">
      <c r="R174" s="3">
        <v>172</v>
      </c>
      <c r="S174" s="7">
        <f t="shared" ca="1" si="4"/>
        <v>1.2513466602876164</v>
      </c>
    </row>
    <row r="175" spans="18:19" x14ac:dyDescent="0.35">
      <c r="R175" s="3">
        <v>173</v>
      </c>
      <c r="S175" s="7">
        <f t="shared" ca="1" si="4"/>
        <v>1.7860557670118311</v>
      </c>
    </row>
    <row r="176" spans="18:19" x14ac:dyDescent="0.35">
      <c r="R176" s="3">
        <v>174</v>
      </c>
      <c r="S176" s="7">
        <f t="shared" ca="1" si="4"/>
        <v>0.6960950610673512</v>
      </c>
    </row>
    <row r="177" spans="18:19" x14ac:dyDescent="0.35">
      <c r="R177" s="3">
        <v>175</v>
      </c>
      <c r="S177" s="7">
        <f t="shared" ca="1" si="4"/>
        <v>5.9240839869867097</v>
      </c>
    </row>
    <row r="178" spans="18:19" x14ac:dyDescent="0.35">
      <c r="R178" s="3">
        <v>176</v>
      </c>
      <c r="S178" s="7">
        <f t="shared" ca="1" si="4"/>
        <v>0.96786258866774078</v>
      </c>
    </row>
    <row r="179" spans="18:19" x14ac:dyDescent="0.35">
      <c r="R179" s="3">
        <v>177</v>
      </c>
      <c r="S179" s="7">
        <f t="shared" ca="1" si="4"/>
        <v>1.6232057165151808</v>
      </c>
    </row>
    <row r="180" spans="18:19" x14ac:dyDescent="0.35">
      <c r="R180" s="3">
        <v>178</v>
      </c>
      <c r="S180" s="7">
        <f t="shared" ca="1" si="4"/>
        <v>1.1758697523615875</v>
      </c>
    </row>
    <row r="181" spans="18:19" x14ac:dyDescent="0.35">
      <c r="R181" s="3">
        <v>179</v>
      </c>
      <c r="S181" s="7">
        <f t="shared" ca="1" si="4"/>
        <v>0.82636528960313949</v>
      </c>
    </row>
    <row r="182" spans="18:19" x14ac:dyDescent="0.35">
      <c r="R182" s="3">
        <v>180</v>
      </c>
      <c r="S182" s="7">
        <f t="shared" ca="1" si="4"/>
        <v>0.82534967907613266</v>
      </c>
    </row>
    <row r="183" spans="18:19" x14ac:dyDescent="0.35">
      <c r="R183" s="3">
        <v>181</v>
      </c>
      <c r="S183" s="7">
        <f t="shared" ca="1" si="4"/>
        <v>0.66881409974914174</v>
      </c>
    </row>
    <row r="184" spans="18:19" x14ac:dyDescent="0.35">
      <c r="R184" s="3">
        <v>182</v>
      </c>
      <c r="S184" s="7">
        <f t="shared" ca="1" si="4"/>
        <v>0.65173236201240159</v>
      </c>
    </row>
    <row r="185" spans="18:19" x14ac:dyDescent="0.35">
      <c r="R185" s="3">
        <v>183</v>
      </c>
      <c r="S185" s="7">
        <f t="shared" ca="1" si="4"/>
        <v>0.3960040554173262</v>
      </c>
    </row>
    <row r="186" spans="18:19" x14ac:dyDescent="0.35">
      <c r="R186" s="3">
        <v>184</v>
      </c>
      <c r="S186" s="7">
        <f t="shared" ca="1" si="4"/>
        <v>1.3070646842652283</v>
      </c>
    </row>
    <row r="187" spans="18:19" x14ac:dyDescent="0.35">
      <c r="R187" s="3">
        <v>185</v>
      </c>
      <c r="S187" s="7">
        <f t="shared" ca="1" si="4"/>
        <v>0.31379313247816237</v>
      </c>
    </row>
    <row r="188" spans="18:19" x14ac:dyDescent="0.35">
      <c r="R188" s="3">
        <v>186</v>
      </c>
      <c r="S188" s="7">
        <f t="shared" ca="1" si="4"/>
        <v>0.70176808589138195</v>
      </c>
    </row>
    <row r="189" spans="18:19" x14ac:dyDescent="0.35">
      <c r="R189" s="3">
        <v>187</v>
      </c>
      <c r="S189" s="7">
        <f t="shared" ca="1" si="4"/>
        <v>0.29736246792990906</v>
      </c>
    </row>
    <row r="190" spans="18:19" x14ac:dyDescent="0.35">
      <c r="R190" s="3">
        <v>188</v>
      </c>
      <c r="S190" s="7">
        <f t="shared" ca="1" si="4"/>
        <v>1.4150341808354145</v>
      </c>
    </row>
    <row r="191" spans="18:19" x14ac:dyDescent="0.35">
      <c r="R191" s="3">
        <v>189</v>
      </c>
      <c r="S191" s="7">
        <f t="shared" ca="1" si="4"/>
        <v>3.9336945444542954</v>
      </c>
    </row>
    <row r="192" spans="18:19" x14ac:dyDescent="0.35">
      <c r="R192" s="3">
        <v>190</v>
      </c>
      <c r="S192" s="7">
        <f t="shared" ca="1" si="4"/>
        <v>0.9866920934072031</v>
      </c>
    </row>
    <row r="193" spans="18:19" x14ac:dyDescent="0.35">
      <c r="R193" s="3">
        <v>191</v>
      </c>
      <c r="S193" s="7">
        <f t="shared" ca="1" si="4"/>
        <v>0.75382663999824062</v>
      </c>
    </row>
    <row r="194" spans="18:19" x14ac:dyDescent="0.35">
      <c r="R194" s="3">
        <v>192</v>
      </c>
      <c r="S194" s="7">
        <f t="shared" ca="1" si="4"/>
        <v>2.1722525808445643</v>
      </c>
    </row>
    <row r="195" spans="18:19" x14ac:dyDescent="0.35">
      <c r="R195" s="3">
        <v>193</v>
      </c>
      <c r="S195" s="7">
        <f t="shared" ca="1" si="4"/>
        <v>0.545434219334892</v>
      </c>
    </row>
    <row r="196" spans="18:19" x14ac:dyDescent="0.35">
      <c r="R196" s="3">
        <v>194</v>
      </c>
      <c r="S196" s="7">
        <f t="shared" ref="S196:S259" ca="1" si="5">_xlfn.F.INV(RAND(),C$3,C$4)</f>
        <v>0.19807724588612188</v>
      </c>
    </row>
    <row r="197" spans="18:19" x14ac:dyDescent="0.35">
      <c r="R197" s="3">
        <v>195</v>
      </c>
      <c r="S197" s="7">
        <f t="shared" ca="1" si="5"/>
        <v>3.133604397202026</v>
      </c>
    </row>
    <row r="198" spans="18:19" x14ac:dyDescent="0.35">
      <c r="R198" s="3">
        <v>196</v>
      </c>
      <c r="S198" s="7">
        <f t="shared" ca="1" si="5"/>
        <v>0.35912525739776685</v>
      </c>
    </row>
    <row r="199" spans="18:19" x14ac:dyDescent="0.35">
      <c r="R199" s="3">
        <v>197</v>
      </c>
      <c r="S199" s="7">
        <f t="shared" ca="1" si="5"/>
        <v>0.89252762990497769</v>
      </c>
    </row>
    <row r="200" spans="18:19" x14ac:dyDescent="0.35">
      <c r="R200" s="3">
        <v>198</v>
      </c>
      <c r="S200" s="7">
        <f t="shared" ca="1" si="5"/>
        <v>2.0196324675595463</v>
      </c>
    </row>
    <row r="201" spans="18:19" x14ac:dyDescent="0.35">
      <c r="R201" s="3">
        <v>199</v>
      </c>
      <c r="S201" s="7">
        <f t="shared" ca="1" si="5"/>
        <v>2.9167755663637642</v>
      </c>
    </row>
    <row r="202" spans="18:19" x14ac:dyDescent="0.35">
      <c r="R202" s="3">
        <v>200</v>
      </c>
      <c r="S202" s="7">
        <f t="shared" ca="1" si="5"/>
        <v>0.53176927052105416</v>
      </c>
    </row>
    <row r="203" spans="18:19" x14ac:dyDescent="0.35">
      <c r="R203" s="3">
        <v>201</v>
      </c>
      <c r="S203" s="7">
        <f t="shared" ca="1" si="5"/>
        <v>1.0466181075668648</v>
      </c>
    </row>
    <row r="204" spans="18:19" x14ac:dyDescent="0.35">
      <c r="R204" s="3">
        <v>202</v>
      </c>
      <c r="S204" s="7">
        <f t="shared" ca="1" si="5"/>
        <v>0.865312372295446</v>
      </c>
    </row>
    <row r="205" spans="18:19" x14ac:dyDescent="0.35">
      <c r="R205" s="3">
        <v>203</v>
      </c>
      <c r="S205" s="7">
        <f t="shared" ca="1" si="5"/>
        <v>0.98458178036319288</v>
      </c>
    </row>
    <row r="206" spans="18:19" x14ac:dyDescent="0.35">
      <c r="R206" s="3">
        <v>204</v>
      </c>
      <c r="S206" s="7">
        <f t="shared" ca="1" si="5"/>
        <v>2.1348806165165373</v>
      </c>
    </row>
    <row r="207" spans="18:19" x14ac:dyDescent="0.35">
      <c r="R207" s="3">
        <v>205</v>
      </c>
      <c r="S207" s="7">
        <f t="shared" ca="1" si="5"/>
        <v>5.7756702748096655</v>
      </c>
    </row>
    <row r="208" spans="18:19" x14ac:dyDescent="0.35">
      <c r="R208" s="3">
        <v>206</v>
      </c>
      <c r="S208" s="7">
        <f t="shared" ca="1" si="5"/>
        <v>0.17306652543317563</v>
      </c>
    </row>
    <row r="209" spans="18:19" x14ac:dyDescent="0.35">
      <c r="R209" s="3">
        <v>207</v>
      </c>
      <c r="S209" s="7">
        <f t="shared" ca="1" si="5"/>
        <v>5.6271381311812458</v>
      </c>
    </row>
    <row r="210" spans="18:19" x14ac:dyDescent="0.35">
      <c r="R210" s="3">
        <v>208</v>
      </c>
      <c r="S210" s="7">
        <f t="shared" ca="1" si="5"/>
        <v>2.1169569452368799</v>
      </c>
    </row>
    <row r="211" spans="18:19" x14ac:dyDescent="0.35">
      <c r="R211" s="3">
        <v>209</v>
      </c>
      <c r="S211" s="7">
        <f t="shared" ca="1" si="5"/>
        <v>0.26611218388186608</v>
      </c>
    </row>
    <row r="212" spans="18:19" x14ac:dyDescent="0.35">
      <c r="R212" s="3">
        <v>210</v>
      </c>
      <c r="S212" s="7">
        <f t="shared" ca="1" si="5"/>
        <v>2.9232350728288421</v>
      </c>
    </row>
    <row r="213" spans="18:19" x14ac:dyDescent="0.35">
      <c r="R213" s="3">
        <v>211</v>
      </c>
      <c r="S213" s="7">
        <f t="shared" ca="1" si="5"/>
        <v>0.80685900898736784</v>
      </c>
    </row>
    <row r="214" spans="18:19" x14ac:dyDescent="0.35">
      <c r="R214" s="3">
        <v>212</v>
      </c>
      <c r="S214" s="7">
        <f t="shared" ca="1" si="5"/>
        <v>1.4123888535754761</v>
      </c>
    </row>
    <row r="215" spans="18:19" x14ac:dyDescent="0.35">
      <c r="R215" s="3">
        <v>213</v>
      </c>
      <c r="S215" s="7">
        <f t="shared" ca="1" si="5"/>
        <v>0.5611339940028911</v>
      </c>
    </row>
    <row r="216" spans="18:19" x14ac:dyDescent="0.35">
      <c r="R216" s="3">
        <v>214</v>
      </c>
      <c r="S216" s="7">
        <f t="shared" ca="1" si="5"/>
        <v>1.0057382123382312</v>
      </c>
    </row>
    <row r="217" spans="18:19" x14ac:dyDescent="0.35">
      <c r="R217" s="3">
        <v>215</v>
      </c>
      <c r="S217" s="7">
        <f t="shared" ca="1" si="5"/>
        <v>4.084454716189466</v>
      </c>
    </row>
    <row r="218" spans="18:19" x14ac:dyDescent="0.35">
      <c r="R218" s="3">
        <v>216</v>
      </c>
      <c r="S218" s="7">
        <f t="shared" ca="1" si="5"/>
        <v>0.90692759325336025</v>
      </c>
    </row>
    <row r="219" spans="18:19" x14ac:dyDescent="0.35">
      <c r="R219" s="3">
        <v>217</v>
      </c>
      <c r="S219" s="7">
        <f t="shared" ca="1" si="5"/>
        <v>1.2542714554429382</v>
      </c>
    </row>
    <row r="220" spans="18:19" x14ac:dyDescent="0.35">
      <c r="R220" s="3">
        <v>218</v>
      </c>
      <c r="S220" s="7">
        <f t="shared" ca="1" si="5"/>
        <v>2.8784589908205183</v>
      </c>
    </row>
    <row r="221" spans="18:19" x14ac:dyDescent="0.35">
      <c r="R221" s="3">
        <v>219</v>
      </c>
      <c r="S221" s="7">
        <f t="shared" ca="1" si="5"/>
        <v>0.74226616499460529</v>
      </c>
    </row>
    <row r="222" spans="18:19" x14ac:dyDescent="0.35">
      <c r="R222" s="3">
        <v>220</v>
      </c>
      <c r="S222" s="7">
        <f t="shared" ca="1" si="5"/>
        <v>0.40934612803201009</v>
      </c>
    </row>
    <row r="223" spans="18:19" x14ac:dyDescent="0.35">
      <c r="R223" s="3">
        <v>221</v>
      </c>
      <c r="S223" s="7">
        <f t="shared" ca="1" si="5"/>
        <v>0.79896447011199401</v>
      </c>
    </row>
    <row r="224" spans="18:19" x14ac:dyDescent="0.35">
      <c r="R224" s="3">
        <v>222</v>
      </c>
      <c r="S224" s="7">
        <f t="shared" ca="1" si="5"/>
        <v>0.27221442108762689</v>
      </c>
    </row>
    <row r="225" spans="18:19" x14ac:dyDescent="0.35">
      <c r="R225" s="3">
        <v>223</v>
      </c>
      <c r="S225" s="7">
        <f t="shared" ca="1" si="5"/>
        <v>0.38205076172486152</v>
      </c>
    </row>
    <row r="226" spans="18:19" x14ac:dyDescent="0.35">
      <c r="R226" s="3">
        <v>224</v>
      </c>
      <c r="S226" s="7">
        <f t="shared" ca="1" si="5"/>
        <v>0.89771581827455893</v>
      </c>
    </row>
    <row r="227" spans="18:19" x14ac:dyDescent="0.35">
      <c r="R227" s="3">
        <v>225</v>
      </c>
      <c r="S227" s="7">
        <f t="shared" ca="1" si="5"/>
        <v>0.91860432541021553</v>
      </c>
    </row>
    <row r="228" spans="18:19" x14ac:dyDescent="0.35">
      <c r="R228" s="3">
        <v>226</v>
      </c>
      <c r="S228" s="7">
        <f t="shared" ca="1" si="5"/>
        <v>1.3119839421089157</v>
      </c>
    </row>
    <row r="229" spans="18:19" x14ac:dyDescent="0.35">
      <c r="R229" s="3">
        <v>227</v>
      </c>
      <c r="S229" s="7">
        <f t="shared" ca="1" si="5"/>
        <v>1.4337689600824526</v>
      </c>
    </row>
    <row r="230" spans="18:19" x14ac:dyDescent="0.35">
      <c r="R230" s="3">
        <v>228</v>
      </c>
      <c r="S230" s="7">
        <f t="shared" ca="1" si="5"/>
        <v>0.41560968505295454</v>
      </c>
    </row>
    <row r="231" spans="18:19" x14ac:dyDescent="0.35">
      <c r="R231" s="3">
        <v>229</v>
      </c>
      <c r="S231" s="7">
        <f t="shared" ca="1" si="5"/>
        <v>2.2343757336676999</v>
      </c>
    </row>
    <row r="232" spans="18:19" x14ac:dyDescent="0.35">
      <c r="R232" s="3">
        <v>230</v>
      </c>
      <c r="S232" s="7">
        <f t="shared" ca="1" si="5"/>
        <v>0.195489172183686</v>
      </c>
    </row>
    <row r="233" spans="18:19" x14ac:dyDescent="0.35">
      <c r="R233" s="3">
        <v>231</v>
      </c>
      <c r="S233" s="7">
        <f t="shared" ca="1" si="5"/>
        <v>1.5916291591717076</v>
      </c>
    </row>
    <row r="234" spans="18:19" x14ac:dyDescent="0.35">
      <c r="R234" s="3">
        <v>232</v>
      </c>
      <c r="S234" s="7">
        <f t="shared" ca="1" si="5"/>
        <v>0.65933140142657454</v>
      </c>
    </row>
    <row r="235" spans="18:19" x14ac:dyDescent="0.35">
      <c r="R235" s="3">
        <v>233</v>
      </c>
      <c r="S235" s="7">
        <f t="shared" ca="1" si="5"/>
        <v>3.2491584866949252</v>
      </c>
    </row>
    <row r="236" spans="18:19" x14ac:dyDescent="0.35">
      <c r="R236" s="3">
        <v>234</v>
      </c>
      <c r="S236" s="7">
        <f t="shared" ca="1" si="5"/>
        <v>1.4015253945982193</v>
      </c>
    </row>
    <row r="237" spans="18:19" x14ac:dyDescent="0.35">
      <c r="R237" s="3">
        <v>235</v>
      </c>
      <c r="S237" s="7">
        <f t="shared" ca="1" si="5"/>
        <v>0.28664437525013992</v>
      </c>
    </row>
    <row r="238" spans="18:19" x14ac:dyDescent="0.35">
      <c r="R238" s="3">
        <v>236</v>
      </c>
      <c r="S238" s="7">
        <f t="shared" ca="1" si="5"/>
        <v>0.406992235762965</v>
      </c>
    </row>
    <row r="239" spans="18:19" x14ac:dyDescent="0.35">
      <c r="R239" s="3">
        <v>237</v>
      </c>
      <c r="S239" s="7">
        <f t="shared" ca="1" si="5"/>
        <v>0.61949042581876523</v>
      </c>
    </row>
    <row r="240" spans="18:19" x14ac:dyDescent="0.35">
      <c r="R240" s="3">
        <v>238</v>
      </c>
      <c r="S240" s="7">
        <f t="shared" ca="1" si="5"/>
        <v>1.6983247420552881</v>
      </c>
    </row>
    <row r="241" spans="18:19" x14ac:dyDescent="0.35">
      <c r="R241" s="3">
        <v>239</v>
      </c>
      <c r="S241" s="7">
        <f t="shared" ca="1" si="5"/>
        <v>0.4893564865369685</v>
      </c>
    </row>
    <row r="242" spans="18:19" x14ac:dyDescent="0.35">
      <c r="R242" s="3">
        <v>240</v>
      </c>
      <c r="S242" s="7">
        <f t="shared" ca="1" si="5"/>
        <v>2.9113895895035253</v>
      </c>
    </row>
    <row r="243" spans="18:19" x14ac:dyDescent="0.35">
      <c r="R243" s="3">
        <v>241</v>
      </c>
      <c r="S243" s="7">
        <f t="shared" ca="1" si="5"/>
        <v>0.59309846673117428</v>
      </c>
    </row>
    <row r="244" spans="18:19" x14ac:dyDescent="0.35">
      <c r="R244" s="3">
        <v>242</v>
      </c>
      <c r="S244" s="7">
        <f t="shared" ca="1" si="5"/>
        <v>1.4491985945652128</v>
      </c>
    </row>
    <row r="245" spans="18:19" x14ac:dyDescent="0.35">
      <c r="R245" s="3">
        <v>243</v>
      </c>
      <c r="S245" s="7">
        <f t="shared" ca="1" si="5"/>
        <v>0.59447625143492999</v>
      </c>
    </row>
    <row r="246" spans="18:19" x14ac:dyDescent="0.35">
      <c r="R246" s="3">
        <v>244</v>
      </c>
      <c r="S246" s="7">
        <f t="shared" ca="1" si="5"/>
        <v>2.4529202176833742</v>
      </c>
    </row>
    <row r="247" spans="18:19" x14ac:dyDescent="0.35">
      <c r="R247" s="3">
        <v>245</v>
      </c>
      <c r="S247" s="7">
        <f t="shared" ca="1" si="5"/>
        <v>0.94362597173523388</v>
      </c>
    </row>
    <row r="248" spans="18:19" x14ac:dyDescent="0.35">
      <c r="R248" s="3">
        <v>246</v>
      </c>
      <c r="S248" s="7">
        <f t="shared" ca="1" si="5"/>
        <v>1.9772122302201314</v>
      </c>
    </row>
    <row r="249" spans="18:19" x14ac:dyDescent="0.35">
      <c r="R249" s="3">
        <v>247</v>
      </c>
      <c r="S249" s="7">
        <f t="shared" ca="1" si="5"/>
        <v>1.28997929228047</v>
      </c>
    </row>
    <row r="250" spans="18:19" x14ac:dyDescent="0.35">
      <c r="R250" s="3">
        <v>248</v>
      </c>
      <c r="S250" s="7">
        <f t="shared" ca="1" si="5"/>
        <v>1.9194694993517534</v>
      </c>
    </row>
    <row r="251" spans="18:19" x14ac:dyDescent="0.35">
      <c r="R251" s="3">
        <v>249</v>
      </c>
      <c r="S251" s="7">
        <f t="shared" ca="1" si="5"/>
        <v>2.0642138149376601</v>
      </c>
    </row>
    <row r="252" spans="18:19" x14ac:dyDescent="0.35">
      <c r="R252" s="3">
        <v>250</v>
      </c>
      <c r="S252" s="7">
        <f t="shared" ca="1" si="5"/>
        <v>2.2889058968808724</v>
      </c>
    </row>
    <row r="253" spans="18:19" x14ac:dyDescent="0.35">
      <c r="R253" s="3">
        <v>251</v>
      </c>
      <c r="S253" s="7">
        <f t="shared" ca="1" si="5"/>
        <v>0.27431793345328032</v>
      </c>
    </row>
    <row r="254" spans="18:19" x14ac:dyDescent="0.35">
      <c r="R254" s="3">
        <v>252</v>
      </c>
      <c r="S254" s="7">
        <f t="shared" ca="1" si="5"/>
        <v>0.98857748809101764</v>
      </c>
    </row>
    <row r="255" spans="18:19" x14ac:dyDescent="0.35">
      <c r="R255" s="3">
        <v>253</v>
      </c>
      <c r="S255" s="7">
        <f t="shared" ca="1" si="5"/>
        <v>1.9080530930841821</v>
      </c>
    </row>
    <row r="256" spans="18:19" x14ac:dyDescent="0.35">
      <c r="R256" s="3">
        <v>254</v>
      </c>
      <c r="S256" s="7">
        <f t="shared" ca="1" si="5"/>
        <v>0.50303871148472246</v>
      </c>
    </row>
    <row r="257" spans="18:19" x14ac:dyDescent="0.35">
      <c r="R257" s="3">
        <v>255</v>
      </c>
      <c r="S257" s="7">
        <f t="shared" ca="1" si="5"/>
        <v>1.0179375604009748</v>
      </c>
    </row>
    <row r="258" spans="18:19" x14ac:dyDescent="0.35">
      <c r="R258" s="3">
        <v>256</v>
      </c>
      <c r="S258" s="7">
        <f t="shared" ca="1" si="5"/>
        <v>7.0336018867345036</v>
      </c>
    </row>
    <row r="259" spans="18:19" x14ac:dyDescent="0.35">
      <c r="R259" s="3">
        <v>257</v>
      </c>
      <c r="S259" s="7">
        <f t="shared" ca="1" si="5"/>
        <v>1.1496886429032249</v>
      </c>
    </row>
    <row r="260" spans="18:19" x14ac:dyDescent="0.35">
      <c r="R260" s="3">
        <v>258</v>
      </c>
      <c r="S260" s="7">
        <f t="shared" ref="S260:S323" ca="1" si="6">_xlfn.F.INV(RAND(),C$3,C$4)</f>
        <v>2.2509046947461613</v>
      </c>
    </row>
    <row r="261" spans="18:19" x14ac:dyDescent="0.35">
      <c r="R261" s="3">
        <v>259</v>
      </c>
      <c r="S261" s="7">
        <f t="shared" ca="1" si="6"/>
        <v>0.69636480513220367</v>
      </c>
    </row>
    <row r="262" spans="18:19" x14ac:dyDescent="0.35">
      <c r="R262" s="3">
        <v>260</v>
      </c>
      <c r="S262" s="7">
        <f t="shared" ca="1" si="6"/>
        <v>0.71630741309687174</v>
      </c>
    </row>
    <row r="263" spans="18:19" x14ac:dyDescent="0.35">
      <c r="R263" s="3">
        <v>261</v>
      </c>
      <c r="S263" s="7">
        <f t="shared" ca="1" si="6"/>
        <v>2.0823871380944725</v>
      </c>
    </row>
    <row r="264" spans="18:19" x14ac:dyDescent="0.35">
      <c r="R264" s="3">
        <v>262</v>
      </c>
      <c r="S264" s="7">
        <f t="shared" ca="1" si="6"/>
        <v>0.46819341674509718</v>
      </c>
    </row>
    <row r="265" spans="18:19" x14ac:dyDescent="0.35">
      <c r="R265" s="3">
        <v>263</v>
      </c>
      <c r="S265" s="7">
        <f t="shared" ca="1" si="6"/>
        <v>0.70468540080156394</v>
      </c>
    </row>
    <row r="266" spans="18:19" x14ac:dyDescent="0.35">
      <c r="R266" s="3">
        <v>264</v>
      </c>
      <c r="S266" s="7">
        <f t="shared" ca="1" si="6"/>
        <v>0.58124858208226327</v>
      </c>
    </row>
    <row r="267" spans="18:19" x14ac:dyDescent="0.35">
      <c r="R267" s="3">
        <v>265</v>
      </c>
      <c r="S267" s="7">
        <f t="shared" ca="1" si="6"/>
        <v>2.1039597183770158</v>
      </c>
    </row>
    <row r="268" spans="18:19" x14ac:dyDescent="0.35">
      <c r="R268" s="3">
        <v>266</v>
      </c>
      <c r="S268" s="7">
        <f t="shared" ca="1" si="6"/>
        <v>0.87587695333440574</v>
      </c>
    </row>
    <row r="269" spans="18:19" x14ac:dyDescent="0.35">
      <c r="R269" s="3">
        <v>267</v>
      </c>
      <c r="S269" s="7">
        <f t="shared" ca="1" si="6"/>
        <v>0.22138110670747674</v>
      </c>
    </row>
    <row r="270" spans="18:19" x14ac:dyDescent="0.35">
      <c r="R270" s="3">
        <v>268</v>
      </c>
      <c r="S270" s="7">
        <f t="shared" ca="1" si="6"/>
        <v>1.345264198822524</v>
      </c>
    </row>
    <row r="271" spans="18:19" x14ac:dyDescent="0.35">
      <c r="R271" s="3">
        <v>269</v>
      </c>
      <c r="S271" s="7">
        <f t="shared" ca="1" si="6"/>
        <v>0.21751738505064516</v>
      </c>
    </row>
    <row r="272" spans="18:19" x14ac:dyDescent="0.35">
      <c r="R272" s="3">
        <v>270</v>
      </c>
      <c r="S272" s="7">
        <f t="shared" ca="1" si="6"/>
        <v>0.22342212073059764</v>
      </c>
    </row>
    <row r="273" spans="18:19" x14ac:dyDescent="0.35">
      <c r="R273" s="3">
        <v>271</v>
      </c>
      <c r="S273" s="7">
        <f t="shared" ca="1" si="6"/>
        <v>0.24988440819046631</v>
      </c>
    </row>
    <row r="274" spans="18:19" x14ac:dyDescent="0.35">
      <c r="R274" s="3">
        <v>272</v>
      </c>
      <c r="S274" s="7">
        <f t="shared" ca="1" si="6"/>
        <v>0.35279516116477572</v>
      </c>
    </row>
    <row r="275" spans="18:19" x14ac:dyDescent="0.35">
      <c r="R275" s="3">
        <v>273</v>
      </c>
      <c r="S275" s="7">
        <f t="shared" ca="1" si="6"/>
        <v>5.1035144387509561</v>
      </c>
    </row>
    <row r="276" spans="18:19" x14ac:dyDescent="0.35">
      <c r="R276" s="3">
        <v>274</v>
      </c>
      <c r="S276" s="7">
        <f t="shared" ca="1" si="6"/>
        <v>2.3080307610452269</v>
      </c>
    </row>
    <row r="277" spans="18:19" x14ac:dyDescent="0.35">
      <c r="R277" s="3">
        <v>275</v>
      </c>
      <c r="S277" s="7">
        <f t="shared" ca="1" si="6"/>
        <v>0.30018806886735805</v>
      </c>
    </row>
    <row r="278" spans="18:19" x14ac:dyDescent="0.35">
      <c r="R278" s="3">
        <v>276</v>
      </c>
      <c r="S278" s="7">
        <f t="shared" ca="1" si="6"/>
        <v>0.33844911899735902</v>
      </c>
    </row>
    <row r="279" spans="18:19" x14ac:dyDescent="0.35">
      <c r="R279" s="3">
        <v>277</v>
      </c>
      <c r="S279" s="7">
        <f t="shared" ca="1" si="6"/>
        <v>2.048172738560178</v>
      </c>
    </row>
    <row r="280" spans="18:19" x14ac:dyDescent="0.35">
      <c r="R280" s="3">
        <v>278</v>
      </c>
      <c r="S280" s="7">
        <f t="shared" ca="1" si="6"/>
        <v>4.1417957135382286</v>
      </c>
    </row>
    <row r="281" spans="18:19" x14ac:dyDescent="0.35">
      <c r="R281" s="3">
        <v>279</v>
      </c>
      <c r="S281" s="7">
        <f t="shared" ca="1" si="6"/>
        <v>1.2611012820916654</v>
      </c>
    </row>
    <row r="282" spans="18:19" x14ac:dyDescent="0.35">
      <c r="R282" s="3">
        <v>280</v>
      </c>
      <c r="S282" s="7">
        <f t="shared" ca="1" si="6"/>
        <v>0.83487650802816249</v>
      </c>
    </row>
    <row r="283" spans="18:19" x14ac:dyDescent="0.35">
      <c r="R283" s="3">
        <v>281</v>
      </c>
      <c r="S283" s="7">
        <f t="shared" ca="1" si="6"/>
        <v>1.7688077076847601</v>
      </c>
    </row>
    <row r="284" spans="18:19" x14ac:dyDescent="0.35">
      <c r="R284" s="3">
        <v>282</v>
      </c>
      <c r="S284" s="7">
        <f t="shared" ca="1" si="6"/>
        <v>0.85977640621203766</v>
      </c>
    </row>
    <row r="285" spans="18:19" x14ac:dyDescent="0.35">
      <c r="R285" s="3">
        <v>283</v>
      </c>
      <c r="S285" s="7">
        <f t="shared" ca="1" si="6"/>
        <v>1.179023938303924</v>
      </c>
    </row>
    <row r="286" spans="18:19" x14ac:dyDescent="0.35">
      <c r="R286" s="3">
        <v>284</v>
      </c>
      <c r="S286" s="7">
        <f t="shared" ca="1" si="6"/>
        <v>0.81781390153327838</v>
      </c>
    </row>
    <row r="287" spans="18:19" x14ac:dyDescent="0.35">
      <c r="R287" s="3">
        <v>285</v>
      </c>
      <c r="S287" s="7">
        <f t="shared" ca="1" si="6"/>
        <v>2.9505613292169954</v>
      </c>
    </row>
    <row r="288" spans="18:19" x14ac:dyDescent="0.35">
      <c r="R288" s="3">
        <v>286</v>
      </c>
      <c r="S288" s="7">
        <f t="shared" ca="1" si="6"/>
        <v>7.9009664223379765</v>
      </c>
    </row>
    <row r="289" spans="18:19" x14ac:dyDescent="0.35">
      <c r="R289" s="3">
        <v>287</v>
      </c>
      <c r="S289" s="7">
        <f t="shared" ca="1" si="6"/>
        <v>2.0292913284072882</v>
      </c>
    </row>
    <row r="290" spans="18:19" x14ac:dyDescent="0.35">
      <c r="R290" s="3">
        <v>288</v>
      </c>
      <c r="S290" s="7">
        <f t="shared" ca="1" si="6"/>
        <v>0.45020934974201421</v>
      </c>
    </row>
    <row r="291" spans="18:19" x14ac:dyDescent="0.35">
      <c r="R291" s="3">
        <v>289</v>
      </c>
      <c r="S291" s="7">
        <f t="shared" ca="1" si="6"/>
        <v>0.82563463899688627</v>
      </c>
    </row>
    <row r="292" spans="18:19" x14ac:dyDescent="0.35">
      <c r="R292" s="3">
        <v>290</v>
      </c>
      <c r="S292" s="7">
        <f t="shared" ca="1" si="6"/>
        <v>1.8121121363762953</v>
      </c>
    </row>
    <row r="293" spans="18:19" x14ac:dyDescent="0.35">
      <c r="R293" s="3">
        <v>291</v>
      </c>
      <c r="S293" s="7">
        <f t="shared" ca="1" si="6"/>
        <v>1.0096770502174603</v>
      </c>
    </row>
    <row r="294" spans="18:19" x14ac:dyDescent="0.35">
      <c r="R294" s="3">
        <v>292</v>
      </c>
      <c r="S294" s="7">
        <f t="shared" ca="1" si="6"/>
        <v>2.3322890015433515</v>
      </c>
    </row>
    <row r="295" spans="18:19" x14ac:dyDescent="0.35">
      <c r="R295" s="3">
        <v>293</v>
      </c>
      <c r="S295" s="7">
        <f t="shared" ca="1" si="6"/>
        <v>0.22958879253236666</v>
      </c>
    </row>
    <row r="296" spans="18:19" x14ac:dyDescent="0.35">
      <c r="R296" s="3">
        <v>294</v>
      </c>
      <c r="S296" s="7">
        <f t="shared" ca="1" si="6"/>
        <v>2.8365984860125497</v>
      </c>
    </row>
    <row r="297" spans="18:19" x14ac:dyDescent="0.35">
      <c r="R297" s="3">
        <v>295</v>
      </c>
      <c r="S297" s="7">
        <f t="shared" ca="1" si="6"/>
        <v>1.1749735684903309</v>
      </c>
    </row>
    <row r="298" spans="18:19" x14ac:dyDescent="0.35">
      <c r="R298" s="3">
        <v>296</v>
      </c>
      <c r="S298" s="7">
        <f t="shared" ca="1" si="6"/>
        <v>1.0456043552899403</v>
      </c>
    </row>
    <row r="299" spans="18:19" x14ac:dyDescent="0.35">
      <c r="R299" s="3">
        <v>297</v>
      </c>
      <c r="S299" s="7">
        <f t="shared" ca="1" si="6"/>
        <v>4.9326448346704055</v>
      </c>
    </row>
    <row r="300" spans="18:19" x14ac:dyDescent="0.35">
      <c r="R300" s="3">
        <v>298</v>
      </c>
      <c r="S300" s="7">
        <f t="shared" ca="1" si="6"/>
        <v>1.2420419648938013</v>
      </c>
    </row>
    <row r="301" spans="18:19" x14ac:dyDescent="0.35">
      <c r="R301" s="3">
        <v>299</v>
      </c>
      <c r="S301" s="7">
        <f t="shared" ca="1" si="6"/>
        <v>0.95609668962205685</v>
      </c>
    </row>
    <row r="302" spans="18:19" x14ac:dyDescent="0.35">
      <c r="R302" s="3">
        <v>300</v>
      </c>
      <c r="S302" s="7">
        <f t="shared" ca="1" si="6"/>
        <v>0.7770616275671709</v>
      </c>
    </row>
    <row r="303" spans="18:19" x14ac:dyDescent="0.35">
      <c r="R303" s="3">
        <v>301</v>
      </c>
      <c r="S303" s="7">
        <f t="shared" ca="1" si="6"/>
        <v>0.47256406182304284</v>
      </c>
    </row>
    <row r="304" spans="18:19" x14ac:dyDescent="0.35">
      <c r="R304" s="3">
        <v>302</v>
      </c>
      <c r="S304" s="7">
        <f t="shared" ca="1" si="6"/>
        <v>0.19240242775153149</v>
      </c>
    </row>
    <row r="305" spans="18:19" x14ac:dyDescent="0.35">
      <c r="R305" s="3">
        <v>303</v>
      </c>
      <c r="S305" s="7">
        <f t="shared" ca="1" si="6"/>
        <v>1.6393809854251538</v>
      </c>
    </row>
    <row r="306" spans="18:19" x14ac:dyDescent="0.35">
      <c r="R306" s="3">
        <v>304</v>
      </c>
      <c r="S306" s="7">
        <f t="shared" ca="1" si="6"/>
        <v>0.76886481190855049</v>
      </c>
    </row>
    <row r="307" spans="18:19" x14ac:dyDescent="0.35">
      <c r="R307" s="3">
        <v>305</v>
      </c>
      <c r="S307" s="7">
        <f t="shared" ca="1" si="6"/>
        <v>0.68841498115707545</v>
      </c>
    </row>
    <row r="308" spans="18:19" x14ac:dyDescent="0.35">
      <c r="R308" s="3">
        <v>306</v>
      </c>
      <c r="S308" s="7">
        <f t="shared" ca="1" si="6"/>
        <v>1.1722000566418704</v>
      </c>
    </row>
    <row r="309" spans="18:19" x14ac:dyDescent="0.35">
      <c r="R309" s="3">
        <v>307</v>
      </c>
      <c r="S309" s="7">
        <f t="shared" ca="1" si="6"/>
        <v>1.9506158527738542</v>
      </c>
    </row>
    <row r="310" spans="18:19" x14ac:dyDescent="0.35">
      <c r="R310" s="3">
        <v>308</v>
      </c>
      <c r="S310" s="7">
        <f t="shared" ca="1" si="6"/>
        <v>0.68314641733542147</v>
      </c>
    </row>
    <row r="311" spans="18:19" x14ac:dyDescent="0.35">
      <c r="R311" s="3">
        <v>309</v>
      </c>
      <c r="S311" s="7">
        <f t="shared" ca="1" si="6"/>
        <v>0.78038028045178154</v>
      </c>
    </row>
    <row r="312" spans="18:19" x14ac:dyDescent="0.35">
      <c r="R312" s="3">
        <v>310</v>
      </c>
      <c r="S312" s="7">
        <f t="shared" ca="1" si="6"/>
        <v>1.7162175539172939</v>
      </c>
    </row>
    <row r="313" spans="18:19" x14ac:dyDescent="0.35">
      <c r="R313" s="3">
        <v>311</v>
      </c>
      <c r="S313" s="7">
        <f t="shared" ca="1" si="6"/>
        <v>1.61171603765824</v>
      </c>
    </row>
    <row r="314" spans="18:19" x14ac:dyDescent="0.35">
      <c r="R314" s="3">
        <v>312</v>
      </c>
      <c r="S314" s="7">
        <f t="shared" ca="1" si="6"/>
        <v>1.6696334533933725</v>
      </c>
    </row>
    <row r="315" spans="18:19" x14ac:dyDescent="0.35">
      <c r="R315" s="3">
        <v>313</v>
      </c>
      <c r="S315" s="7">
        <f t="shared" ca="1" si="6"/>
        <v>1.3434026374644352</v>
      </c>
    </row>
    <row r="316" spans="18:19" x14ac:dyDescent="0.35">
      <c r="R316" s="3">
        <v>314</v>
      </c>
      <c r="S316" s="7">
        <f t="shared" ca="1" si="6"/>
        <v>2.6338282779510189</v>
      </c>
    </row>
    <row r="317" spans="18:19" x14ac:dyDescent="0.35">
      <c r="R317" s="3">
        <v>315</v>
      </c>
      <c r="S317" s="7">
        <f t="shared" ca="1" si="6"/>
        <v>0.2838091522314854</v>
      </c>
    </row>
    <row r="318" spans="18:19" x14ac:dyDescent="0.35">
      <c r="R318" s="3">
        <v>316</v>
      </c>
      <c r="S318" s="7">
        <f t="shared" ca="1" si="6"/>
        <v>0.6796015182366989</v>
      </c>
    </row>
    <row r="319" spans="18:19" x14ac:dyDescent="0.35">
      <c r="R319" s="3">
        <v>317</v>
      </c>
      <c r="S319" s="7">
        <f t="shared" ca="1" si="6"/>
        <v>0.87249492690973818</v>
      </c>
    </row>
    <row r="320" spans="18:19" x14ac:dyDescent="0.35">
      <c r="R320" s="3">
        <v>318</v>
      </c>
      <c r="S320" s="7">
        <f t="shared" ca="1" si="6"/>
        <v>0.23049756605296731</v>
      </c>
    </row>
    <row r="321" spans="18:19" x14ac:dyDescent="0.35">
      <c r="R321" s="3">
        <v>319</v>
      </c>
      <c r="S321" s="7">
        <f t="shared" ca="1" si="6"/>
        <v>2.4903047982957167</v>
      </c>
    </row>
    <row r="322" spans="18:19" x14ac:dyDescent="0.35">
      <c r="R322" s="3">
        <v>320</v>
      </c>
      <c r="S322" s="7">
        <f t="shared" ca="1" si="6"/>
        <v>0.43786223519964712</v>
      </c>
    </row>
    <row r="323" spans="18:19" x14ac:dyDescent="0.35">
      <c r="R323" s="3">
        <v>321</v>
      </c>
      <c r="S323" s="7">
        <f t="shared" ca="1" si="6"/>
        <v>0.40180793984358915</v>
      </c>
    </row>
    <row r="324" spans="18:19" x14ac:dyDescent="0.35">
      <c r="R324" s="3">
        <v>322</v>
      </c>
      <c r="S324" s="7">
        <f t="shared" ref="S324:S387" ca="1" si="7">_xlfn.F.INV(RAND(),C$3,C$4)</f>
        <v>0.8571412693554723</v>
      </c>
    </row>
    <row r="325" spans="18:19" x14ac:dyDescent="0.35">
      <c r="R325" s="3">
        <v>323</v>
      </c>
      <c r="S325" s="7">
        <f t="shared" ca="1" si="7"/>
        <v>1.8303170329131102</v>
      </c>
    </row>
    <row r="326" spans="18:19" x14ac:dyDescent="0.35">
      <c r="R326" s="3">
        <v>324</v>
      </c>
      <c r="S326" s="7">
        <f t="shared" ca="1" si="7"/>
        <v>2.2269323831498071</v>
      </c>
    </row>
    <row r="327" spans="18:19" x14ac:dyDescent="0.35">
      <c r="R327" s="3">
        <v>325</v>
      </c>
      <c r="S327" s="7">
        <f t="shared" ca="1" si="7"/>
        <v>0.76798005444672968</v>
      </c>
    </row>
    <row r="328" spans="18:19" x14ac:dyDescent="0.35">
      <c r="R328" s="3">
        <v>326</v>
      </c>
      <c r="S328" s="7">
        <f t="shared" ca="1" si="7"/>
        <v>1.8272210356747833</v>
      </c>
    </row>
    <row r="329" spans="18:19" x14ac:dyDescent="0.35">
      <c r="R329" s="3">
        <v>327</v>
      </c>
      <c r="S329" s="7">
        <f t="shared" ca="1" si="7"/>
        <v>1.0727782260701426</v>
      </c>
    </row>
    <row r="330" spans="18:19" x14ac:dyDescent="0.35">
      <c r="R330" s="3">
        <v>328</v>
      </c>
      <c r="S330" s="7">
        <f t="shared" ca="1" si="7"/>
        <v>1.2933050558407879</v>
      </c>
    </row>
    <row r="331" spans="18:19" x14ac:dyDescent="0.35">
      <c r="R331" s="3">
        <v>329</v>
      </c>
      <c r="S331" s="7">
        <f t="shared" ca="1" si="7"/>
        <v>0.25277168856522814</v>
      </c>
    </row>
    <row r="332" spans="18:19" x14ac:dyDescent="0.35">
      <c r="R332" s="3">
        <v>330</v>
      </c>
      <c r="S332" s="7">
        <f t="shared" ca="1" si="7"/>
        <v>1.0427256163897773</v>
      </c>
    </row>
    <row r="333" spans="18:19" x14ac:dyDescent="0.35">
      <c r="R333" s="3">
        <v>331</v>
      </c>
      <c r="S333" s="7">
        <f t="shared" ca="1" si="7"/>
        <v>0.70355488812183031</v>
      </c>
    </row>
    <row r="334" spans="18:19" x14ac:dyDescent="0.35">
      <c r="R334" s="3">
        <v>332</v>
      </c>
      <c r="S334" s="7">
        <f t="shared" ca="1" si="7"/>
        <v>2.3180487811324322</v>
      </c>
    </row>
    <row r="335" spans="18:19" x14ac:dyDescent="0.35">
      <c r="R335" s="3">
        <v>333</v>
      </c>
      <c r="S335" s="7">
        <f t="shared" ca="1" si="7"/>
        <v>0.5163217708138863</v>
      </c>
    </row>
    <row r="336" spans="18:19" x14ac:dyDescent="0.35">
      <c r="R336" s="3">
        <v>334</v>
      </c>
      <c r="S336" s="7">
        <f t="shared" ca="1" si="7"/>
        <v>1.1103813606784143</v>
      </c>
    </row>
    <row r="337" spans="18:19" x14ac:dyDescent="0.35">
      <c r="R337" s="3">
        <v>335</v>
      </c>
      <c r="S337" s="7">
        <f t="shared" ca="1" si="7"/>
        <v>2.0270575868771057</v>
      </c>
    </row>
    <row r="338" spans="18:19" x14ac:dyDescent="0.35">
      <c r="R338" s="3">
        <v>336</v>
      </c>
      <c r="S338" s="7">
        <f t="shared" ca="1" si="7"/>
        <v>3.9979372060156386</v>
      </c>
    </row>
    <row r="339" spans="18:19" x14ac:dyDescent="0.35">
      <c r="R339" s="3">
        <v>337</v>
      </c>
      <c r="S339" s="7">
        <f t="shared" ca="1" si="7"/>
        <v>2.729344601179748</v>
      </c>
    </row>
    <row r="340" spans="18:19" x14ac:dyDescent="0.35">
      <c r="R340" s="3">
        <v>338</v>
      </c>
      <c r="S340" s="7">
        <f t="shared" ca="1" si="7"/>
        <v>1.2618042361615316</v>
      </c>
    </row>
    <row r="341" spans="18:19" x14ac:dyDescent="0.35">
      <c r="R341" s="3">
        <v>339</v>
      </c>
      <c r="S341" s="7">
        <f t="shared" ca="1" si="7"/>
        <v>3.6404403031743362</v>
      </c>
    </row>
    <row r="342" spans="18:19" x14ac:dyDescent="0.35">
      <c r="R342" s="3">
        <v>340</v>
      </c>
      <c r="S342" s="7">
        <f t="shared" ca="1" si="7"/>
        <v>0.30412161046462299</v>
      </c>
    </row>
    <row r="343" spans="18:19" x14ac:dyDescent="0.35">
      <c r="R343" s="3">
        <v>341</v>
      </c>
      <c r="S343" s="7">
        <f t="shared" ca="1" si="7"/>
        <v>1.415432411789888</v>
      </c>
    </row>
    <row r="344" spans="18:19" x14ac:dyDescent="0.35">
      <c r="R344" s="3">
        <v>342</v>
      </c>
      <c r="S344" s="7">
        <f t="shared" ca="1" si="7"/>
        <v>1.1389287834361683</v>
      </c>
    </row>
    <row r="345" spans="18:19" x14ac:dyDescent="0.35">
      <c r="R345" s="3">
        <v>343</v>
      </c>
      <c r="S345" s="7">
        <f t="shared" ca="1" si="7"/>
        <v>4.4207573694485687</v>
      </c>
    </row>
    <row r="346" spans="18:19" x14ac:dyDescent="0.35">
      <c r="R346" s="3">
        <v>344</v>
      </c>
      <c r="S346" s="7">
        <f t="shared" ca="1" si="7"/>
        <v>1.583221847682313</v>
      </c>
    </row>
    <row r="347" spans="18:19" x14ac:dyDescent="0.35">
      <c r="R347" s="3">
        <v>345</v>
      </c>
      <c r="S347" s="7">
        <f t="shared" ca="1" si="7"/>
        <v>0.86261031333159288</v>
      </c>
    </row>
    <row r="348" spans="18:19" x14ac:dyDescent="0.35">
      <c r="R348" s="3">
        <v>346</v>
      </c>
      <c r="S348" s="7">
        <f t="shared" ca="1" si="7"/>
        <v>0.91802776695023625</v>
      </c>
    </row>
    <row r="349" spans="18:19" x14ac:dyDescent="0.35">
      <c r="R349" s="3">
        <v>347</v>
      </c>
      <c r="S349" s="7">
        <f t="shared" ca="1" si="7"/>
        <v>0.88655842643056904</v>
      </c>
    </row>
    <row r="350" spans="18:19" x14ac:dyDescent="0.35">
      <c r="R350" s="3">
        <v>348</v>
      </c>
      <c r="S350" s="7">
        <f t="shared" ca="1" si="7"/>
        <v>3.534724998470173</v>
      </c>
    </row>
    <row r="351" spans="18:19" x14ac:dyDescent="0.35">
      <c r="R351" s="3">
        <v>349</v>
      </c>
      <c r="S351" s="7">
        <f t="shared" ca="1" si="7"/>
        <v>1.5867271583048448</v>
      </c>
    </row>
    <row r="352" spans="18:19" x14ac:dyDescent="0.35">
      <c r="R352" s="3">
        <v>350</v>
      </c>
      <c r="S352" s="7">
        <f t="shared" ca="1" si="7"/>
        <v>0.35149945427961726</v>
      </c>
    </row>
    <row r="353" spans="18:19" x14ac:dyDescent="0.35">
      <c r="R353" s="3">
        <v>351</v>
      </c>
      <c r="S353" s="7">
        <f t="shared" ca="1" si="7"/>
        <v>0.32518042067037617</v>
      </c>
    </row>
    <row r="354" spans="18:19" x14ac:dyDescent="0.35">
      <c r="R354" s="3">
        <v>352</v>
      </c>
      <c r="S354" s="7">
        <f t="shared" ca="1" si="7"/>
        <v>0.36005771563495576</v>
      </c>
    </row>
    <row r="355" spans="18:19" x14ac:dyDescent="0.35">
      <c r="R355" s="3">
        <v>353</v>
      </c>
      <c r="S355" s="7">
        <f t="shared" ca="1" si="7"/>
        <v>0.88933271984805251</v>
      </c>
    </row>
    <row r="356" spans="18:19" x14ac:dyDescent="0.35">
      <c r="R356" s="3">
        <v>354</v>
      </c>
      <c r="S356" s="7">
        <f t="shared" ca="1" si="7"/>
        <v>4.3181431507616486</v>
      </c>
    </row>
    <row r="357" spans="18:19" x14ac:dyDescent="0.35">
      <c r="R357" s="3">
        <v>355</v>
      </c>
      <c r="S357" s="7">
        <f t="shared" ca="1" si="7"/>
        <v>0.31221259480427555</v>
      </c>
    </row>
    <row r="358" spans="18:19" x14ac:dyDescent="0.35">
      <c r="R358" s="3">
        <v>356</v>
      </c>
      <c r="S358" s="7">
        <f t="shared" ca="1" si="7"/>
        <v>3.4015480424433431</v>
      </c>
    </row>
    <row r="359" spans="18:19" x14ac:dyDescent="0.35">
      <c r="R359" s="3">
        <v>357</v>
      </c>
      <c r="S359" s="7">
        <f t="shared" ca="1" si="7"/>
        <v>1.1655946928812213</v>
      </c>
    </row>
    <row r="360" spans="18:19" x14ac:dyDescent="0.35">
      <c r="R360" s="3">
        <v>358</v>
      </c>
      <c r="S360" s="7">
        <f t="shared" ca="1" si="7"/>
        <v>2.1644159843132003</v>
      </c>
    </row>
    <row r="361" spans="18:19" x14ac:dyDescent="0.35">
      <c r="R361" s="3">
        <v>359</v>
      </c>
      <c r="S361" s="7">
        <f t="shared" ca="1" si="7"/>
        <v>0.40733539640524691</v>
      </c>
    </row>
    <row r="362" spans="18:19" x14ac:dyDescent="0.35">
      <c r="R362" s="3">
        <v>360</v>
      </c>
      <c r="S362" s="7">
        <f t="shared" ca="1" si="7"/>
        <v>0.40522202646744732</v>
      </c>
    </row>
    <row r="363" spans="18:19" x14ac:dyDescent="0.35">
      <c r="R363" s="3">
        <v>361</v>
      </c>
      <c r="S363" s="7">
        <f t="shared" ca="1" si="7"/>
        <v>11.216437143386406</v>
      </c>
    </row>
    <row r="364" spans="18:19" x14ac:dyDescent="0.35">
      <c r="R364" s="3">
        <v>362</v>
      </c>
      <c r="S364" s="7">
        <f t="shared" ca="1" si="7"/>
        <v>0.49898478549450931</v>
      </c>
    </row>
    <row r="365" spans="18:19" x14ac:dyDescent="0.35">
      <c r="R365" s="3">
        <v>363</v>
      </c>
      <c r="S365" s="7">
        <f t="shared" ca="1" si="7"/>
        <v>4.8211282487756657</v>
      </c>
    </row>
    <row r="366" spans="18:19" x14ac:dyDescent="0.35">
      <c r="R366" s="3">
        <v>364</v>
      </c>
      <c r="S366" s="7">
        <f t="shared" ca="1" si="7"/>
        <v>2.3439910789899554</v>
      </c>
    </row>
    <row r="367" spans="18:19" x14ac:dyDescent="0.35">
      <c r="R367" s="3">
        <v>365</v>
      </c>
      <c r="S367" s="7">
        <f t="shared" ca="1" si="7"/>
        <v>1.1760381335920644</v>
      </c>
    </row>
    <row r="368" spans="18:19" x14ac:dyDescent="0.35">
      <c r="R368" s="3">
        <v>366</v>
      </c>
      <c r="S368" s="7">
        <f t="shared" ca="1" si="7"/>
        <v>0.16819316074370633</v>
      </c>
    </row>
    <row r="369" spans="18:19" x14ac:dyDescent="0.35">
      <c r="R369" s="3">
        <v>367</v>
      </c>
      <c r="S369" s="7">
        <f t="shared" ca="1" si="7"/>
        <v>2.0502829952263903</v>
      </c>
    </row>
    <row r="370" spans="18:19" x14ac:dyDescent="0.35">
      <c r="R370" s="3">
        <v>368</v>
      </c>
      <c r="S370" s="7">
        <f t="shared" ca="1" si="7"/>
        <v>1.0226548504403148</v>
      </c>
    </row>
    <row r="371" spans="18:19" x14ac:dyDescent="0.35">
      <c r="R371" s="3">
        <v>369</v>
      </c>
      <c r="S371" s="7">
        <f t="shared" ca="1" si="7"/>
        <v>0.50457822253484874</v>
      </c>
    </row>
    <row r="372" spans="18:19" x14ac:dyDescent="0.35">
      <c r="R372" s="3">
        <v>370</v>
      </c>
      <c r="S372" s="7">
        <f t="shared" ca="1" si="7"/>
        <v>0.31984022613567059</v>
      </c>
    </row>
    <row r="373" spans="18:19" x14ac:dyDescent="0.35">
      <c r="R373" s="3">
        <v>371</v>
      </c>
      <c r="S373" s="7">
        <f t="shared" ca="1" si="7"/>
        <v>3.2696611357726231</v>
      </c>
    </row>
    <row r="374" spans="18:19" x14ac:dyDescent="0.35">
      <c r="R374" s="3">
        <v>372</v>
      </c>
      <c r="S374" s="7">
        <f t="shared" ca="1" si="7"/>
        <v>0.9753319829960031</v>
      </c>
    </row>
    <row r="375" spans="18:19" x14ac:dyDescent="0.35">
      <c r="R375" s="3">
        <v>373</v>
      </c>
      <c r="S375" s="7">
        <f t="shared" ca="1" si="7"/>
        <v>0.16654662944922924</v>
      </c>
    </row>
    <row r="376" spans="18:19" x14ac:dyDescent="0.35">
      <c r="R376" s="3">
        <v>374</v>
      </c>
      <c r="S376" s="7">
        <f t="shared" ca="1" si="7"/>
        <v>0.90985581569081841</v>
      </c>
    </row>
    <row r="377" spans="18:19" x14ac:dyDescent="0.35">
      <c r="R377" s="3">
        <v>375</v>
      </c>
      <c r="S377" s="7">
        <f t="shared" ca="1" si="7"/>
        <v>1.7843186851132249</v>
      </c>
    </row>
    <row r="378" spans="18:19" x14ac:dyDescent="0.35">
      <c r="R378" s="3">
        <v>376</v>
      </c>
      <c r="S378" s="7">
        <f t="shared" ca="1" si="7"/>
        <v>2.506405092551474</v>
      </c>
    </row>
    <row r="379" spans="18:19" x14ac:dyDescent="0.35">
      <c r="R379" s="3">
        <v>377</v>
      </c>
      <c r="S379" s="7">
        <f t="shared" ca="1" si="7"/>
        <v>0.43360271908566189</v>
      </c>
    </row>
    <row r="380" spans="18:19" x14ac:dyDescent="0.35">
      <c r="R380" s="3">
        <v>378</v>
      </c>
      <c r="S380" s="7">
        <f t="shared" ca="1" si="7"/>
        <v>1.1599291388702899</v>
      </c>
    </row>
    <row r="381" spans="18:19" x14ac:dyDescent="0.35">
      <c r="R381" s="3">
        <v>379</v>
      </c>
      <c r="S381" s="7">
        <f t="shared" ca="1" si="7"/>
        <v>2.3512384553756327</v>
      </c>
    </row>
    <row r="382" spans="18:19" x14ac:dyDescent="0.35">
      <c r="R382" s="3">
        <v>380</v>
      </c>
      <c r="S382" s="7">
        <f t="shared" ca="1" si="7"/>
        <v>0.46618379649075009</v>
      </c>
    </row>
    <row r="383" spans="18:19" x14ac:dyDescent="0.35">
      <c r="R383" s="3">
        <v>381</v>
      </c>
      <c r="S383" s="7">
        <f t="shared" ca="1" si="7"/>
        <v>0.92357903768695648</v>
      </c>
    </row>
    <row r="384" spans="18:19" x14ac:dyDescent="0.35">
      <c r="R384" s="3">
        <v>382</v>
      </c>
      <c r="S384" s="7">
        <f t="shared" ca="1" si="7"/>
        <v>3.1460047545122376</v>
      </c>
    </row>
    <row r="385" spans="18:19" x14ac:dyDescent="0.35">
      <c r="R385" s="3">
        <v>383</v>
      </c>
      <c r="S385" s="7">
        <f t="shared" ca="1" si="7"/>
        <v>1.5853967135010072</v>
      </c>
    </row>
    <row r="386" spans="18:19" x14ac:dyDescent="0.35">
      <c r="R386" s="3">
        <v>384</v>
      </c>
      <c r="S386" s="7">
        <f t="shared" ca="1" si="7"/>
        <v>0.52574763691866588</v>
      </c>
    </row>
    <row r="387" spans="18:19" x14ac:dyDescent="0.35">
      <c r="R387" s="3">
        <v>385</v>
      </c>
      <c r="S387" s="7">
        <f t="shared" ca="1" si="7"/>
        <v>0.99807948250277467</v>
      </c>
    </row>
    <row r="388" spans="18:19" x14ac:dyDescent="0.35">
      <c r="R388" s="3">
        <v>386</v>
      </c>
      <c r="S388" s="7">
        <f t="shared" ref="S388:S451" ca="1" si="8">_xlfn.F.INV(RAND(),C$3,C$4)</f>
        <v>0.55890139899611369</v>
      </c>
    </row>
    <row r="389" spans="18:19" x14ac:dyDescent="0.35">
      <c r="R389" s="3">
        <v>387</v>
      </c>
      <c r="S389" s="7">
        <f t="shared" ca="1" si="8"/>
        <v>2.1868461962942343</v>
      </c>
    </row>
    <row r="390" spans="18:19" x14ac:dyDescent="0.35">
      <c r="R390" s="3">
        <v>388</v>
      </c>
      <c r="S390" s="7">
        <f t="shared" ca="1" si="8"/>
        <v>1.1388826421305922</v>
      </c>
    </row>
    <row r="391" spans="18:19" x14ac:dyDescent="0.35">
      <c r="R391" s="3">
        <v>389</v>
      </c>
      <c r="S391" s="7">
        <f t="shared" ca="1" si="8"/>
        <v>2.6546124050446407</v>
      </c>
    </row>
    <row r="392" spans="18:19" x14ac:dyDescent="0.35">
      <c r="R392" s="3">
        <v>390</v>
      </c>
      <c r="S392" s="7">
        <f t="shared" ca="1" si="8"/>
        <v>3.1968966418676743</v>
      </c>
    </row>
    <row r="393" spans="18:19" x14ac:dyDescent="0.35">
      <c r="R393" s="3">
        <v>391</v>
      </c>
      <c r="S393" s="7">
        <f t="shared" ca="1" si="8"/>
        <v>0.92891861249735319</v>
      </c>
    </row>
    <row r="394" spans="18:19" x14ac:dyDescent="0.35">
      <c r="R394" s="3">
        <v>392</v>
      </c>
      <c r="S394" s="7">
        <f t="shared" ca="1" si="8"/>
        <v>1.0742277592503968</v>
      </c>
    </row>
    <row r="395" spans="18:19" x14ac:dyDescent="0.35">
      <c r="R395" s="3">
        <v>393</v>
      </c>
      <c r="S395" s="7">
        <f t="shared" ca="1" si="8"/>
        <v>2.6058390113692043</v>
      </c>
    </row>
    <row r="396" spans="18:19" x14ac:dyDescent="0.35">
      <c r="R396" s="3">
        <v>394</v>
      </c>
      <c r="S396" s="7">
        <f t="shared" ca="1" si="8"/>
        <v>2.3883643252004938</v>
      </c>
    </row>
    <row r="397" spans="18:19" x14ac:dyDescent="0.35">
      <c r="R397" s="3">
        <v>395</v>
      </c>
      <c r="S397" s="7">
        <f t="shared" ca="1" si="8"/>
        <v>0.66589803904415246</v>
      </c>
    </row>
    <row r="398" spans="18:19" x14ac:dyDescent="0.35">
      <c r="R398" s="3">
        <v>396</v>
      </c>
      <c r="S398" s="7">
        <f t="shared" ca="1" si="8"/>
        <v>0.29411827810915686</v>
      </c>
    </row>
    <row r="399" spans="18:19" x14ac:dyDescent="0.35">
      <c r="R399" s="3">
        <v>397</v>
      </c>
      <c r="S399" s="7">
        <f t="shared" ca="1" si="8"/>
        <v>6.0588597619595568</v>
      </c>
    </row>
    <row r="400" spans="18:19" x14ac:dyDescent="0.35">
      <c r="R400" s="3">
        <v>398</v>
      </c>
      <c r="S400" s="7">
        <f t="shared" ca="1" si="8"/>
        <v>3.3779182213628567</v>
      </c>
    </row>
    <row r="401" spans="18:19" x14ac:dyDescent="0.35">
      <c r="R401" s="3">
        <v>399</v>
      </c>
      <c r="S401" s="7">
        <f t="shared" ca="1" si="8"/>
        <v>0.26139665043162152</v>
      </c>
    </row>
    <row r="402" spans="18:19" x14ac:dyDescent="0.35">
      <c r="R402" s="3">
        <v>400</v>
      </c>
      <c r="S402" s="7">
        <f t="shared" ca="1" si="8"/>
        <v>0.94233334083218578</v>
      </c>
    </row>
    <row r="403" spans="18:19" x14ac:dyDescent="0.35">
      <c r="R403" s="3">
        <v>401</v>
      </c>
      <c r="S403" s="7">
        <f t="shared" ca="1" si="8"/>
        <v>1.5410255475029824</v>
      </c>
    </row>
    <row r="404" spans="18:19" x14ac:dyDescent="0.35">
      <c r="R404" s="3">
        <v>402</v>
      </c>
      <c r="S404" s="7">
        <f t="shared" ca="1" si="8"/>
        <v>1.1875034499486861</v>
      </c>
    </row>
    <row r="405" spans="18:19" x14ac:dyDescent="0.35">
      <c r="R405" s="3">
        <v>403</v>
      </c>
      <c r="S405" s="7">
        <f t="shared" ca="1" si="8"/>
        <v>0.44040731448086573</v>
      </c>
    </row>
    <row r="406" spans="18:19" x14ac:dyDescent="0.35">
      <c r="R406" s="3">
        <v>404</v>
      </c>
      <c r="S406" s="7">
        <f t="shared" ca="1" si="8"/>
        <v>1.8139889382679448</v>
      </c>
    </row>
    <row r="407" spans="18:19" x14ac:dyDescent="0.35">
      <c r="R407" s="3">
        <v>405</v>
      </c>
      <c r="S407" s="7">
        <f t="shared" ca="1" si="8"/>
        <v>1.2580786385583611</v>
      </c>
    </row>
    <row r="408" spans="18:19" x14ac:dyDescent="0.35">
      <c r="R408" s="3">
        <v>406</v>
      </c>
      <c r="S408" s="7">
        <f t="shared" ca="1" si="8"/>
        <v>0.45457519282952574</v>
      </c>
    </row>
    <row r="409" spans="18:19" x14ac:dyDescent="0.35">
      <c r="R409" s="3">
        <v>407</v>
      </c>
      <c r="S409" s="7">
        <f t="shared" ca="1" si="8"/>
        <v>1.8317322210069977</v>
      </c>
    </row>
    <row r="410" spans="18:19" x14ac:dyDescent="0.35">
      <c r="R410" s="3">
        <v>408</v>
      </c>
      <c r="S410" s="7">
        <f t="shared" ca="1" si="8"/>
        <v>17.245135899319155</v>
      </c>
    </row>
    <row r="411" spans="18:19" x14ac:dyDescent="0.35">
      <c r="R411" s="3">
        <v>409</v>
      </c>
      <c r="S411" s="7">
        <f t="shared" ca="1" si="8"/>
        <v>0.78543714450169999</v>
      </c>
    </row>
    <row r="412" spans="18:19" x14ac:dyDescent="0.35">
      <c r="R412" s="3">
        <v>410</v>
      </c>
      <c r="S412" s="7">
        <f t="shared" ca="1" si="8"/>
        <v>0.64776481409030995</v>
      </c>
    </row>
    <row r="413" spans="18:19" x14ac:dyDescent="0.35">
      <c r="R413" s="3">
        <v>411</v>
      </c>
      <c r="S413" s="7">
        <f t="shared" ca="1" si="8"/>
        <v>0.35192680669536341</v>
      </c>
    </row>
    <row r="414" spans="18:19" x14ac:dyDescent="0.35">
      <c r="R414" s="3">
        <v>412</v>
      </c>
      <c r="S414" s="7">
        <f t="shared" ca="1" si="8"/>
        <v>1.1964066452839905</v>
      </c>
    </row>
    <row r="415" spans="18:19" x14ac:dyDescent="0.35">
      <c r="R415" s="3">
        <v>413</v>
      </c>
      <c r="S415" s="7">
        <f t="shared" ca="1" si="8"/>
        <v>3.0342420228214997</v>
      </c>
    </row>
    <row r="416" spans="18:19" x14ac:dyDescent="0.35">
      <c r="R416" s="3">
        <v>414</v>
      </c>
      <c r="S416" s="7">
        <f t="shared" ca="1" si="8"/>
        <v>3.017424021677054</v>
      </c>
    </row>
    <row r="417" spans="18:19" x14ac:dyDescent="0.35">
      <c r="R417" s="3">
        <v>415</v>
      </c>
      <c r="S417" s="7">
        <f t="shared" ca="1" si="8"/>
        <v>0.80184680086640303</v>
      </c>
    </row>
    <row r="418" spans="18:19" x14ac:dyDescent="0.35">
      <c r="R418" s="3">
        <v>416</v>
      </c>
      <c r="S418" s="7">
        <f t="shared" ca="1" si="8"/>
        <v>1.1599727636016173</v>
      </c>
    </row>
    <row r="419" spans="18:19" x14ac:dyDescent="0.35">
      <c r="R419" s="3">
        <v>417</v>
      </c>
      <c r="S419" s="7">
        <f t="shared" ca="1" si="8"/>
        <v>0.9066590614280472</v>
      </c>
    </row>
    <row r="420" spans="18:19" x14ac:dyDescent="0.35">
      <c r="R420" s="3">
        <v>418</v>
      </c>
      <c r="S420" s="7">
        <f t="shared" ca="1" si="8"/>
        <v>1.3406865965390771</v>
      </c>
    </row>
    <row r="421" spans="18:19" x14ac:dyDescent="0.35">
      <c r="R421" s="3">
        <v>419</v>
      </c>
      <c r="S421" s="7">
        <f t="shared" ca="1" si="8"/>
        <v>0.41044694460516495</v>
      </c>
    </row>
    <row r="422" spans="18:19" x14ac:dyDescent="0.35">
      <c r="R422" s="3">
        <v>420</v>
      </c>
      <c r="S422" s="7">
        <f t="shared" ca="1" si="8"/>
        <v>0.61867350652050801</v>
      </c>
    </row>
    <row r="423" spans="18:19" x14ac:dyDescent="0.35">
      <c r="R423" s="3">
        <v>421</v>
      </c>
      <c r="S423" s="7">
        <f t="shared" ca="1" si="8"/>
        <v>1.9736818765415705</v>
      </c>
    </row>
    <row r="424" spans="18:19" x14ac:dyDescent="0.35">
      <c r="R424" s="3">
        <v>422</v>
      </c>
      <c r="S424" s="7">
        <f t="shared" ca="1" si="8"/>
        <v>1.3344418556589548</v>
      </c>
    </row>
    <row r="425" spans="18:19" x14ac:dyDescent="0.35">
      <c r="R425" s="3">
        <v>423</v>
      </c>
      <c r="S425" s="7">
        <f t="shared" ca="1" si="8"/>
        <v>0.30052065208601964</v>
      </c>
    </row>
    <row r="426" spans="18:19" x14ac:dyDescent="0.35">
      <c r="R426" s="3">
        <v>424</v>
      </c>
      <c r="S426" s="7">
        <f t="shared" ca="1" si="8"/>
        <v>3.4364749779419204</v>
      </c>
    </row>
    <row r="427" spans="18:19" x14ac:dyDescent="0.35">
      <c r="R427" s="3">
        <v>425</v>
      </c>
      <c r="S427" s="7">
        <f t="shared" ca="1" si="8"/>
        <v>1.9455624940126806</v>
      </c>
    </row>
    <row r="428" spans="18:19" x14ac:dyDescent="0.35">
      <c r="R428" s="3">
        <v>426</v>
      </c>
      <c r="S428" s="7">
        <f t="shared" ca="1" si="8"/>
        <v>2.3289999315797836</v>
      </c>
    </row>
    <row r="429" spans="18:19" x14ac:dyDescent="0.35">
      <c r="R429" s="3">
        <v>427</v>
      </c>
      <c r="S429" s="7">
        <f t="shared" ca="1" si="8"/>
        <v>1.1800314461997139</v>
      </c>
    </row>
    <row r="430" spans="18:19" x14ac:dyDescent="0.35">
      <c r="R430" s="3">
        <v>428</v>
      </c>
      <c r="S430" s="7">
        <f t="shared" ca="1" si="8"/>
        <v>1.3859123470878241</v>
      </c>
    </row>
    <row r="431" spans="18:19" x14ac:dyDescent="0.35">
      <c r="R431" s="3">
        <v>429</v>
      </c>
      <c r="S431" s="7">
        <f t="shared" ca="1" si="8"/>
        <v>0.23421017310182768</v>
      </c>
    </row>
    <row r="432" spans="18:19" x14ac:dyDescent="0.35">
      <c r="R432" s="3">
        <v>430</v>
      </c>
      <c r="S432" s="7">
        <f t="shared" ca="1" si="8"/>
        <v>1.7137403178972175</v>
      </c>
    </row>
    <row r="433" spans="18:19" x14ac:dyDescent="0.35">
      <c r="R433" s="3">
        <v>431</v>
      </c>
      <c r="S433" s="7">
        <f t="shared" ca="1" si="8"/>
        <v>1.9505659192957814</v>
      </c>
    </row>
    <row r="434" spans="18:19" x14ac:dyDescent="0.35">
      <c r="R434" s="3">
        <v>432</v>
      </c>
      <c r="S434" s="7">
        <f t="shared" ca="1" si="8"/>
        <v>0.62176254062041503</v>
      </c>
    </row>
    <row r="435" spans="18:19" x14ac:dyDescent="0.35">
      <c r="R435" s="3">
        <v>433</v>
      </c>
      <c r="S435" s="7">
        <f t="shared" ca="1" si="8"/>
        <v>0.759264589099092</v>
      </c>
    </row>
    <row r="436" spans="18:19" x14ac:dyDescent="0.35">
      <c r="R436" s="3">
        <v>434</v>
      </c>
      <c r="S436" s="7">
        <f t="shared" ca="1" si="8"/>
        <v>0.68773572837620289</v>
      </c>
    </row>
    <row r="437" spans="18:19" x14ac:dyDescent="0.35">
      <c r="R437" s="3">
        <v>435</v>
      </c>
      <c r="S437" s="7">
        <f t="shared" ca="1" si="8"/>
        <v>5.0070104084289824</v>
      </c>
    </row>
    <row r="438" spans="18:19" x14ac:dyDescent="0.35">
      <c r="R438" s="3">
        <v>436</v>
      </c>
      <c r="S438" s="7">
        <f t="shared" ca="1" si="8"/>
        <v>2.2054800689161542</v>
      </c>
    </row>
    <row r="439" spans="18:19" x14ac:dyDescent="0.35">
      <c r="R439" s="3">
        <v>437</v>
      </c>
      <c r="S439" s="7">
        <f t="shared" ca="1" si="8"/>
        <v>2.1832736250234936</v>
      </c>
    </row>
    <row r="440" spans="18:19" x14ac:dyDescent="0.35">
      <c r="R440" s="3">
        <v>438</v>
      </c>
      <c r="S440" s="7">
        <f t="shared" ca="1" si="8"/>
        <v>0.40291544871298429</v>
      </c>
    </row>
    <row r="441" spans="18:19" x14ac:dyDescent="0.35">
      <c r="R441" s="3">
        <v>439</v>
      </c>
      <c r="S441" s="7">
        <f t="shared" ca="1" si="8"/>
        <v>3.705625467980568</v>
      </c>
    </row>
    <row r="442" spans="18:19" x14ac:dyDescent="0.35">
      <c r="R442" s="3">
        <v>440</v>
      </c>
      <c r="S442" s="7">
        <f t="shared" ca="1" si="8"/>
        <v>0.27432105895091236</v>
      </c>
    </row>
    <row r="443" spans="18:19" x14ac:dyDescent="0.35">
      <c r="R443" s="3">
        <v>441</v>
      </c>
      <c r="S443" s="7">
        <f t="shared" ca="1" si="8"/>
        <v>0.52254714972458294</v>
      </c>
    </row>
    <row r="444" spans="18:19" x14ac:dyDescent="0.35">
      <c r="R444" s="3">
        <v>442</v>
      </c>
      <c r="S444" s="7">
        <f t="shared" ca="1" si="8"/>
        <v>0.14434390894605714</v>
      </c>
    </row>
    <row r="445" spans="18:19" x14ac:dyDescent="0.35">
      <c r="R445" s="3">
        <v>443</v>
      </c>
      <c r="S445" s="7">
        <f t="shared" ca="1" si="8"/>
        <v>1.1936404755306813</v>
      </c>
    </row>
    <row r="446" spans="18:19" x14ac:dyDescent="0.35">
      <c r="R446" s="3">
        <v>444</v>
      </c>
      <c r="S446" s="7">
        <f t="shared" ca="1" si="8"/>
        <v>4.1876410716320702</v>
      </c>
    </row>
    <row r="447" spans="18:19" x14ac:dyDescent="0.35">
      <c r="R447" s="3">
        <v>445</v>
      </c>
      <c r="S447" s="7">
        <f t="shared" ca="1" si="8"/>
        <v>0.82126535770672382</v>
      </c>
    </row>
    <row r="448" spans="18:19" x14ac:dyDescent="0.35">
      <c r="R448" s="3">
        <v>446</v>
      </c>
      <c r="S448" s="7">
        <f t="shared" ca="1" si="8"/>
        <v>1.9810382325702811</v>
      </c>
    </row>
    <row r="449" spans="18:19" x14ac:dyDescent="0.35">
      <c r="R449" s="3">
        <v>447</v>
      </c>
      <c r="S449" s="7">
        <f t="shared" ca="1" si="8"/>
        <v>4.2839995652032909</v>
      </c>
    </row>
    <row r="450" spans="18:19" x14ac:dyDescent="0.35">
      <c r="R450" s="3">
        <v>448</v>
      </c>
      <c r="S450" s="7">
        <f t="shared" ca="1" si="8"/>
        <v>2.319878890933273</v>
      </c>
    </row>
    <row r="451" spans="18:19" x14ac:dyDescent="0.35">
      <c r="R451" s="3">
        <v>449</v>
      </c>
      <c r="S451" s="7">
        <f t="shared" ca="1" si="8"/>
        <v>1.1089700442833352</v>
      </c>
    </row>
    <row r="452" spans="18:19" x14ac:dyDescent="0.35">
      <c r="R452" s="3">
        <v>450</v>
      </c>
      <c r="S452" s="7">
        <f t="shared" ref="S452:S502" ca="1" si="9">_xlfn.F.INV(RAND(),C$3,C$4)</f>
        <v>4.9415242588308237</v>
      </c>
    </row>
    <row r="453" spans="18:19" x14ac:dyDescent="0.35">
      <c r="R453" s="3">
        <v>451</v>
      </c>
      <c r="S453" s="7">
        <f t="shared" ca="1" si="9"/>
        <v>1.3949552965054475</v>
      </c>
    </row>
    <row r="454" spans="18:19" x14ac:dyDescent="0.35">
      <c r="R454" s="3">
        <v>452</v>
      </c>
      <c r="S454" s="7">
        <f t="shared" ca="1" si="9"/>
        <v>5.8722293212843137</v>
      </c>
    </row>
    <row r="455" spans="18:19" x14ac:dyDescent="0.35">
      <c r="R455" s="3">
        <v>453</v>
      </c>
      <c r="S455" s="7">
        <f t="shared" ca="1" si="9"/>
        <v>0.75862154896376743</v>
      </c>
    </row>
    <row r="456" spans="18:19" x14ac:dyDescent="0.35">
      <c r="R456" s="3">
        <v>454</v>
      </c>
      <c r="S456" s="7">
        <f t="shared" ca="1" si="9"/>
        <v>1.7630122443498686</v>
      </c>
    </row>
    <row r="457" spans="18:19" x14ac:dyDescent="0.35">
      <c r="R457" s="3">
        <v>455</v>
      </c>
      <c r="S457" s="7">
        <f t="shared" ca="1" si="9"/>
        <v>0.24528821707990686</v>
      </c>
    </row>
    <row r="458" spans="18:19" x14ac:dyDescent="0.35">
      <c r="R458" s="3">
        <v>456</v>
      </c>
      <c r="S458" s="7">
        <f t="shared" ca="1" si="9"/>
        <v>0.11775931296586536</v>
      </c>
    </row>
    <row r="459" spans="18:19" x14ac:dyDescent="0.35">
      <c r="R459" s="3">
        <v>457</v>
      </c>
      <c r="S459" s="7">
        <f t="shared" ca="1" si="9"/>
        <v>1.4956830942970474</v>
      </c>
    </row>
    <row r="460" spans="18:19" x14ac:dyDescent="0.35">
      <c r="R460" s="3">
        <v>458</v>
      </c>
      <c r="S460" s="7">
        <f t="shared" ca="1" si="9"/>
        <v>2.0097196361739491</v>
      </c>
    </row>
    <row r="461" spans="18:19" x14ac:dyDescent="0.35">
      <c r="R461" s="3">
        <v>459</v>
      </c>
      <c r="S461" s="7">
        <f t="shared" ca="1" si="9"/>
        <v>8.0008558247788797E-2</v>
      </c>
    </row>
    <row r="462" spans="18:19" x14ac:dyDescent="0.35">
      <c r="R462" s="3">
        <v>460</v>
      </c>
      <c r="S462" s="7">
        <f t="shared" ca="1" si="9"/>
        <v>1.6793720767029297</v>
      </c>
    </row>
    <row r="463" spans="18:19" x14ac:dyDescent="0.35">
      <c r="R463" s="3">
        <v>461</v>
      </c>
      <c r="S463" s="7">
        <f t="shared" ca="1" si="9"/>
        <v>2.674829119302204</v>
      </c>
    </row>
    <row r="464" spans="18:19" x14ac:dyDescent="0.35">
      <c r="R464" s="3">
        <v>462</v>
      </c>
      <c r="S464" s="7">
        <f t="shared" ca="1" si="9"/>
        <v>1.1470557202752911</v>
      </c>
    </row>
    <row r="465" spans="18:19" x14ac:dyDescent="0.35">
      <c r="R465" s="3">
        <v>463</v>
      </c>
      <c r="S465" s="7">
        <f t="shared" ca="1" si="9"/>
        <v>3.0943175122534052</v>
      </c>
    </row>
    <row r="466" spans="18:19" x14ac:dyDescent="0.35">
      <c r="R466" s="3">
        <v>464</v>
      </c>
      <c r="S466" s="7">
        <f t="shared" ca="1" si="9"/>
        <v>0.83908591390478948</v>
      </c>
    </row>
    <row r="467" spans="18:19" x14ac:dyDescent="0.35">
      <c r="R467" s="3">
        <v>465</v>
      </c>
      <c r="S467" s="7">
        <f t="shared" ca="1" si="9"/>
        <v>2.2564065797549824</v>
      </c>
    </row>
    <row r="468" spans="18:19" x14ac:dyDescent="0.35">
      <c r="R468" s="3">
        <v>466</v>
      </c>
      <c r="S468" s="7">
        <f t="shared" ca="1" si="9"/>
        <v>0.50577120894317462</v>
      </c>
    </row>
    <row r="469" spans="18:19" x14ac:dyDescent="0.35">
      <c r="R469" s="3">
        <v>467</v>
      </c>
      <c r="S469" s="7">
        <f t="shared" ca="1" si="9"/>
        <v>3.7509509105169512</v>
      </c>
    </row>
    <row r="470" spans="18:19" x14ac:dyDescent="0.35">
      <c r="R470" s="3">
        <v>468</v>
      </c>
      <c r="S470" s="7">
        <f t="shared" ca="1" si="9"/>
        <v>0.61551047072967002</v>
      </c>
    </row>
    <row r="471" spans="18:19" x14ac:dyDescent="0.35">
      <c r="R471" s="3">
        <v>469</v>
      </c>
      <c r="S471" s="7">
        <f t="shared" ca="1" si="9"/>
        <v>1.2375244874900917</v>
      </c>
    </row>
    <row r="472" spans="18:19" x14ac:dyDescent="0.35">
      <c r="R472" s="3">
        <v>470</v>
      </c>
      <c r="S472" s="7">
        <f t="shared" ca="1" si="9"/>
        <v>2.3056882649747519</v>
      </c>
    </row>
    <row r="473" spans="18:19" x14ac:dyDescent="0.35">
      <c r="R473" s="3">
        <v>471</v>
      </c>
      <c r="S473" s="7">
        <f t="shared" ca="1" si="9"/>
        <v>0.51848341583905488</v>
      </c>
    </row>
    <row r="474" spans="18:19" x14ac:dyDescent="0.35">
      <c r="R474" s="3">
        <v>472</v>
      </c>
      <c r="S474" s="7">
        <f t="shared" ca="1" si="9"/>
        <v>5.3577378015583763</v>
      </c>
    </row>
    <row r="475" spans="18:19" x14ac:dyDescent="0.35">
      <c r="R475" s="3">
        <v>473</v>
      </c>
      <c r="S475" s="7">
        <f t="shared" ca="1" si="9"/>
        <v>0.36482066255154955</v>
      </c>
    </row>
    <row r="476" spans="18:19" x14ac:dyDescent="0.35">
      <c r="R476" s="3">
        <v>474</v>
      </c>
      <c r="S476" s="7">
        <f t="shared" ca="1" si="9"/>
        <v>0.43609373180631972</v>
      </c>
    </row>
    <row r="477" spans="18:19" x14ac:dyDescent="0.35">
      <c r="R477" s="3">
        <v>475</v>
      </c>
      <c r="S477" s="7">
        <f t="shared" ca="1" si="9"/>
        <v>2.4637443907176579</v>
      </c>
    </row>
    <row r="478" spans="18:19" x14ac:dyDescent="0.35">
      <c r="R478" s="3">
        <v>476</v>
      </c>
      <c r="S478" s="7">
        <f t="shared" ca="1" si="9"/>
        <v>1.0475698947466872</v>
      </c>
    </row>
    <row r="479" spans="18:19" x14ac:dyDescent="0.35">
      <c r="R479" s="3">
        <v>477</v>
      </c>
      <c r="S479" s="7">
        <f t="shared" ca="1" si="9"/>
        <v>0.85679753663252289</v>
      </c>
    </row>
    <row r="480" spans="18:19" x14ac:dyDescent="0.35">
      <c r="R480" s="3">
        <v>478</v>
      </c>
      <c r="S480" s="7">
        <f t="shared" ca="1" si="9"/>
        <v>0.93619453811920261</v>
      </c>
    </row>
    <row r="481" spans="18:19" x14ac:dyDescent="0.35">
      <c r="R481" s="3">
        <v>479</v>
      </c>
      <c r="S481" s="7">
        <f t="shared" ca="1" si="9"/>
        <v>0.84924283419109259</v>
      </c>
    </row>
    <row r="482" spans="18:19" x14ac:dyDescent="0.35">
      <c r="R482" s="3">
        <v>480</v>
      </c>
      <c r="S482" s="7">
        <f t="shared" ca="1" si="9"/>
        <v>1.0736912736405588</v>
      </c>
    </row>
    <row r="483" spans="18:19" x14ac:dyDescent="0.35">
      <c r="R483" s="3">
        <v>481</v>
      </c>
      <c r="S483" s="7">
        <f t="shared" ca="1" si="9"/>
        <v>3.4734148581340842</v>
      </c>
    </row>
    <row r="484" spans="18:19" x14ac:dyDescent="0.35">
      <c r="R484" s="3">
        <v>482</v>
      </c>
      <c r="S484" s="7">
        <f t="shared" ca="1" si="9"/>
        <v>3.3446231627409078</v>
      </c>
    </row>
    <row r="485" spans="18:19" x14ac:dyDescent="0.35">
      <c r="R485" s="3">
        <v>483</v>
      </c>
      <c r="S485" s="7">
        <f t="shared" ca="1" si="9"/>
        <v>2.0390395779466859</v>
      </c>
    </row>
    <row r="486" spans="18:19" x14ac:dyDescent="0.35">
      <c r="R486" s="3">
        <v>484</v>
      </c>
      <c r="S486" s="7">
        <f t="shared" ca="1" si="9"/>
        <v>0.95586787768852188</v>
      </c>
    </row>
    <row r="487" spans="18:19" x14ac:dyDescent="0.35">
      <c r="R487" s="3">
        <v>485</v>
      </c>
      <c r="S487" s="7">
        <f t="shared" ca="1" si="9"/>
        <v>0.14325430693510796</v>
      </c>
    </row>
    <row r="488" spans="18:19" x14ac:dyDescent="0.35">
      <c r="R488" s="3">
        <v>486</v>
      </c>
      <c r="S488" s="7">
        <f t="shared" ca="1" si="9"/>
        <v>1.1444371941722529</v>
      </c>
    </row>
    <row r="489" spans="18:19" x14ac:dyDescent="0.35">
      <c r="R489" s="3">
        <v>487</v>
      </c>
      <c r="S489" s="7">
        <f t="shared" ca="1" si="9"/>
        <v>3.7405784586277604</v>
      </c>
    </row>
    <row r="490" spans="18:19" x14ac:dyDescent="0.35">
      <c r="R490" s="3">
        <v>488</v>
      </c>
      <c r="S490" s="7">
        <f t="shared" ca="1" si="9"/>
        <v>5.1120524106385563</v>
      </c>
    </row>
    <row r="491" spans="18:19" x14ac:dyDescent="0.35">
      <c r="R491" s="3">
        <v>489</v>
      </c>
      <c r="S491" s="7">
        <f t="shared" ca="1" si="9"/>
        <v>2.3655812278255124</v>
      </c>
    </row>
    <row r="492" spans="18:19" x14ac:dyDescent="0.35">
      <c r="R492" s="3">
        <v>490</v>
      </c>
      <c r="S492" s="7">
        <f t="shared" ca="1" si="9"/>
        <v>0.64411903656552172</v>
      </c>
    </row>
    <row r="493" spans="18:19" x14ac:dyDescent="0.35">
      <c r="R493" s="3">
        <v>491</v>
      </c>
      <c r="S493" s="7">
        <f t="shared" ca="1" si="9"/>
        <v>1.2213954113340988</v>
      </c>
    </row>
    <row r="494" spans="18:19" x14ac:dyDescent="0.35">
      <c r="R494" s="3">
        <v>492</v>
      </c>
      <c r="S494" s="7">
        <f t="shared" ca="1" si="9"/>
        <v>3.1064916704712497</v>
      </c>
    </row>
    <row r="495" spans="18:19" x14ac:dyDescent="0.35">
      <c r="R495" s="3">
        <v>493</v>
      </c>
      <c r="S495" s="7">
        <f t="shared" ca="1" si="9"/>
        <v>1.1978152314548705</v>
      </c>
    </row>
    <row r="496" spans="18:19" x14ac:dyDescent="0.35">
      <c r="R496" s="3">
        <v>494</v>
      </c>
      <c r="S496" s="7">
        <f t="shared" ca="1" si="9"/>
        <v>0.35573176869341411</v>
      </c>
    </row>
    <row r="497" spans="18:19" x14ac:dyDescent="0.35">
      <c r="R497" s="3">
        <v>495</v>
      </c>
      <c r="S497" s="7">
        <f t="shared" ca="1" si="9"/>
        <v>0.72403901202619636</v>
      </c>
    </row>
    <row r="498" spans="18:19" x14ac:dyDescent="0.35">
      <c r="R498" s="3">
        <v>496</v>
      </c>
      <c r="S498" s="7">
        <f t="shared" ca="1" si="9"/>
        <v>1.5037984195280458</v>
      </c>
    </row>
    <row r="499" spans="18:19" x14ac:dyDescent="0.35">
      <c r="R499" s="3">
        <v>497</v>
      </c>
      <c r="S499" s="7">
        <f t="shared" ca="1" si="9"/>
        <v>0.90963190463443933</v>
      </c>
    </row>
    <row r="500" spans="18:19" x14ac:dyDescent="0.35">
      <c r="R500" s="3">
        <v>498</v>
      </c>
      <c r="S500" s="7">
        <f t="shared" ca="1" si="9"/>
        <v>2.438448222268355</v>
      </c>
    </row>
    <row r="501" spans="18:19" x14ac:dyDescent="0.35">
      <c r="R501" s="3">
        <v>499</v>
      </c>
      <c r="S501" s="7">
        <f t="shared" ca="1" si="9"/>
        <v>2.8715445367264092</v>
      </c>
    </row>
    <row r="502" spans="18:19" x14ac:dyDescent="0.35">
      <c r="R502" s="3">
        <v>500</v>
      </c>
      <c r="S502" s="7">
        <f t="shared" ca="1" si="9"/>
        <v>1.3723742795093863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6A2F2-1BC3-424C-87CD-B32E2A648567}">
  <dimension ref="B2:I102"/>
  <sheetViews>
    <sheetView zoomScale="70" zoomScaleNormal="70" workbookViewId="0">
      <selection activeCell="G3" sqref="G3"/>
    </sheetView>
  </sheetViews>
  <sheetFormatPr defaultRowHeight="14.5" x14ac:dyDescent="0.35"/>
  <cols>
    <col min="1" max="1" width="3.36328125" style="1" customWidth="1"/>
    <col min="2" max="2" width="14.90625" style="1" bestFit="1" customWidth="1"/>
    <col min="3" max="3" width="8.7265625" style="1"/>
    <col min="4" max="4" width="8.7265625" style="1" customWidth="1"/>
    <col min="5" max="5" width="12" style="3" customWidth="1"/>
    <col min="6" max="7" width="12" style="7" customWidth="1"/>
    <col min="8" max="16384" width="8.7265625" style="1"/>
  </cols>
  <sheetData>
    <row r="2" spans="2:9" x14ac:dyDescent="0.35">
      <c r="B2" s="5" t="s">
        <v>9</v>
      </c>
      <c r="C2" s="5" t="s">
        <v>10</v>
      </c>
      <c r="E2" s="6" t="s">
        <v>24</v>
      </c>
      <c r="F2" s="8" t="s">
        <v>20</v>
      </c>
      <c r="G2" s="8" t="s">
        <v>27</v>
      </c>
      <c r="I2" s="1" t="str">
        <f>"Normal/Gaussian Dist. - mu = "&amp;C3&amp;", sigma = "&amp;C4</f>
        <v>Normal/Gaussian Dist. - mu = 10, sigma = 20</v>
      </c>
    </row>
    <row r="3" spans="2:9" x14ac:dyDescent="0.35">
      <c r="B3" s="1" t="s">
        <v>13</v>
      </c>
      <c r="C3" s="13">
        <v>10</v>
      </c>
      <c r="E3" s="3">
        <v>-50</v>
      </c>
      <c r="F3" s="7">
        <f>_xlfn.NORM.DIST(E3,C$3,C$4,FALSE)</f>
        <v>2.2159242059690038E-4</v>
      </c>
      <c r="G3" s="7">
        <f>IF(E3&lt;0,0,F3/SUMIF(E:E,"&gt;=0",F:F))</f>
        <v>0</v>
      </c>
    </row>
    <row r="4" spans="2:9" x14ac:dyDescent="0.35">
      <c r="B4" s="1" t="s">
        <v>14</v>
      </c>
      <c r="C4" s="13">
        <v>20</v>
      </c>
      <c r="E4" s="3">
        <v>-49</v>
      </c>
      <c r="F4" s="7">
        <f t="shared" ref="F4:F67" si="0">_xlfn.NORM.DIST(E4,C$3,C$4,FALSE)</f>
        <v>2.5713204615269698E-4</v>
      </c>
      <c r="G4" s="7">
        <f t="shared" ref="G4:G67" si="1">IF(E4&lt;0,0,F4/SUMIF(E:E,"&gt;=0",F:F))</f>
        <v>0</v>
      </c>
    </row>
    <row r="5" spans="2:9" x14ac:dyDescent="0.35">
      <c r="E5" s="3">
        <v>-48</v>
      </c>
      <c r="F5" s="7">
        <f t="shared" si="0"/>
        <v>2.9762662098879267E-4</v>
      </c>
      <c r="G5" s="7">
        <f t="shared" si="1"/>
        <v>0</v>
      </c>
    </row>
    <row r="6" spans="2:9" x14ac:dyDescent="0.35">
      <c r="E6" s="3">
        <v>-47</v>
      </c>
      <c r="F6" s="7">
        <f t="shared" si="0"/>
        <v>3.4363833453069856E-4</v>
      </c>
      <c r="G6" s="7">
        <f t="shared" si="1"/>
        <v>0</v>
      </c>
    </row>
    <row r="7" spans="2:9" x14ac:dyDescent="0.35">
      <c r="E7" s="3">
        <v>-46</v>
      </c>
      <c r="F7" s="7">
        <f t="shared" si="0"/>
        <v>3.9577257914899847E-4</v>
      </c>
      <c r="G7" s="7">
        <f t="shared" si="1"/>
        <v>0</v>
      </c>
    </row>
    <row r="8" spans="2:9" x14ac:dyDescent="0.35">
      <c r="E8" s="3">
        <v>-45</v>
      </c>
      <c r="F8" s="7">
        <f t="shared" si="0"/>
        <v>4.5467812507955259E-4</v>
      </c>
      <c r="G8" s="7">
        <f t="shared" si="1"/>
        <v>0</v>
      </c>
    </row>
    <row r="9" spans="2:9" x14ac:dyDescent="0.35">
      <c r="E9" s="3">
        <v>-44</v>
      </c>
      <c r="F9" s="7">
        <f t="shared" si="0"/>
        <v>5.2104674072112956E-4</v>
      </c>
      <c r="G9" s="7">
        <f t="shared" si="1"/>
        <v>0</v>
      </c>
    </row>
    <row r="10" spans="2:9" x14ac:dyDescent="0.35">
      <c r="E10" s="3">
        <v>-43</v>
      </c>
      <c r="F10" s="7">
        <f t="shared" si="0"/>
        <v>5.9561218038025894E-4</v>
      </c>
      <c r="G10" s="7">
        <f t="shared" si="1"/>
        <v>0</v>
      </c>
    </row>
    <row r="11" spans="2:9" x14ac:dyDescent="0.35">
      <c r="E11" s="3">
        <v>-42</v>
      </c>
      <c r="F11" s="7">
        <f t="shared" si="0"/>
        <v>6.7914846168428062E-4</v>
      </c>
      <c r="G11" s="7">
        <f t="shared" si="1"/>
        <v>0</v>
      </c>
    </row>
    <row r="12" spans="2:9" x14ac:dyDescent="0.35">
      <c r="E12" s="3">
        <v>-41</v>
      </c>
      <c r="F12" s="7">
        <f t="shared" si="0"/>
        <v>7.7246735671975876E-4</v>
      </c>
      <c r="G12" s="7">
        <f t="shared" si="1"/>
        <v>0</v>
      </c>
    </row>
    <row r="13" spans="2:9" x14ac:dyDescent="0.35">
      <c r="E13" s="3">
        <v>-40</v>
      </c>
      <c r="F13" s="7">
        <f t="shared" si="0"/>
        <v>8.7641502467842702E-4</v>
      </c>
      <c r="G13" s="7">
        <f t="shared" si="1"/>
        <v>0</v>
      </c>
    </row>
    <row r="14" spans="2:9" x14ac:dyDescent="0.35">
      <c r="E14" s="3">
        <v>-39</v>
      </c>
      <c r="F14" s="7">
        <f t="shared" si="0"/>
        <v>9.918677195897656E-4</v>
      </c>
      <c r="G14" s="7">
        <f t="shared" si="1"/>
        <v>0</v>
      </c>
    </row>
    <row r="15" spans="2:9" x14ac:dyDescent="0.35">
      <c r="E15" s="3">
        <v>-38</v>
      </c>
      <c r="F15" s="7">
        <f t="shared" si="0"/>
        <v>1.1197265147421451E-3</v>
      </c>
      <c r="G15" s="7">
        <f t="shared" si="1"/>
        <v>0</v>
      </c>
    </row>
    <row r="16" spans="2:9" x14ac:dyDescent="0.35">
      <c r="E16" s="3">
        <v>-37</v>
      </c>
      <c r="F16" s="7">
        <f t="shared" si="0"/>
        <v>1.2609109957597191E-3</v>
      </c>
      <c r="G16" s="7">
        <f t="shared" si="1"/>
        <v>0</v>
      </c>
    </row>
    <row r="17" spans="5:7" x14ac:dyDescent="0.35">
      <c r="E17" s="3">
        <v>-36</v>
      </c>
      <c r="F17" s="7">
        <f t="shared" si="0"/>
        <v>1.4163518870800593E-3</v>
      </c>
      <c r="G17" s="7">
        <f t="shared" si="1"/>
        <v>0</v>
      </c>
    </row>
    <row r="18" spans="5:7" x14ac:dyDescent="0.35">
      <c r="E18" s="3">
        <v>-35</v>
      </c>
      <c r="F18" s="7">
        <f t="shared" si="0"/>
        <v>1.5869825917833708E-3</v>
      </c>
      <c r="G18" s="7">
        <f t="shared" si="1"/>
        <v>0</v>
      </c>
    </row>
    <row r="19" spans="5:7" x14ac:dyDescent="0.35">
      <c r="E19" s="3">
        <v>-34</v>
      </c>
      <c r="F19" s="7">
        <f t="shared" si="0"/>
        <v>1.773729642311571E-3</v>
      </c>
      <c r="G19" s="7">
        <f t="shared" si="1"/>
        <v>0</v>
      </c>
    </row>
    <row r="20" spans="5:7" x14ac:dyDescent="0.35">
      <c r="E20" s="3">
        <v>-33</v>
      </c>
      <c r="F20" s="7">
        <f t="shared" si="0"/>
        <v>1.9775020794685111E-3</v>
      </c>
      <c r="G20" s="7">
        <f t="shared" si="1"/>
        <v>0</v>
      </c>
    </row>
    <row r="21" spans="5:7" x14ac:dyDescent="0.35">
      <c r="E21" s="3">
        <v>-32</v>
      </c>
      <c r="F21" s="7">
        <f t="shared" si="0"/>
        <v>2.1991797990213598E-3</v>
      </c>
      <c r="G21" s="7">
        <f t="shared" si="1"/>
        <v>0</v>
      </c>
    </row>
    <row r="22" spans="5:7" x14ac:dyDescent="0.35">
      <c r="E22" s="3">
        <v>-31</v>
      </c>
      <c r="F22" s="7">
        <f t="shared" si="0"/>
        <v>2.439600928959138E-3</v>
      </c>
      <c r="G22" s="7">
        <f t="shared" si="1"/>
        <v>0</v>
      </c>
    </row>
    <row r="23" spans="5:7" x14ac:dyDescent="0.35">
      <c r="E23" s="3">
        <v>-30</v>
      </c>
      <c r="F23" s="7">
        <f t="shared" si="0"/>
        <v>2.6995483256594031E-3</v>
      </c>
      <c r="G23" s="7">
        <f t="shared" si="1"/>
        <v>0</v>
      </c>
    </row>
    <row r="24" spans="5:7" x14ac:dyDescent="0.35">
      <c r="E24" s="3">
        <v>-29</v>
      </c>
      <c r="F24" s="7">
        <f t="shared" si="0"/>
        <v>2.9797353034408036E-3</v>
      </c>
      <c r="G24" s="7">
        <f t="shared" si="1"/>
        <v>0</v>
      </c>
    </row>
    <row r="25" spans="5:7" x14ac:dyDescent="0.35">
      <c r="E25" s="3">
        <v>-28</v>
      </c>
      <c r="F25" s="7">
        <f t="shared" si="0"/>
        <v>3.2807907387338302E-3</v>
      </c>
      <c r="G25" s="7">
        <f t="shared" si="1"/>
        <v>0</v>
      </c>
    </row>
    <row r="26" spans="5:7" x14ac:dyDescent="0.35">
      <c r="E26" s="3">
        <v>-27</v>
      </c>
      <c r="F26" s="7">
        <f t="shared" si="0"/>
        <v>3.6032437168108996E-3</v>
      </c>
      <c r="G26" s="7">
        <f t="shared" si="1"/>
        <v>0</v>
      </c>
    </row>
    <row r="27" spans="5:7" x14ac:dyDescent="0.35">
      <c r="E27" s="3">
        <v>-26</v>
      </c>
      <c r="F27" s="7">
        <f t="shared" si="0"/>
        <v>3.9475079150447069E-3</v>
      </c>
      <c r="G27" s="7">
        <f t="shared" si="1"/>
        <v>0</v>
      </c>
    </row>
    <row r="28" spans="5:7" x14ac:dyDescent="0.35">
      <c r="E28" s="3">
        <v>-25</v>
      </c>
      <c r="F28" s="7">
        <f t="shared" si="0"/>
        <v>4.3138659413255757E-3</v>
      </c>
      <c r="G28" s="7">
        <f t="shared" si="1"/>
        <v>0</v>
      </c>
    </row>
    <row r="29" spans="5:7" x14ac:dyDescent="0.35">
      <c r="E29" s="3">
        <v>-24</v>
      </c>
      <c r="F29" s="7">
        <f t="shared" si="0"/>
        <v>4.7024538688443468E-3</v>
      </c>
      <c r="G29" s="7">
        <f t="shared" si="1"/>
        <v>0</v>
      </c>
    </row>
    <row r="30" spans="5:7" x14ac:dyDescent="0.35">
      <c r="E30" s="3">
        <v>-23</v>
      </c>
      <c r="F30" s="7">
        <f t="shared" si="0"/>
        <v>5.1132462281989017E-3</v>
      </c>
      <c r="G30" s="7">
        <f t="shared" si="1"/>
        <v>0</v>
      </c>
    </row>
    <row r="31" spans="5:7" x14ac:dyDescent="0.35">
      <c r="E31" s="3">
        <v>-22</v>
      </c>
      <c r="F31" s="7">
        <f t="shared" si="0"/>
        <v>5.5460417339727773E-3</v>
      </c>
      <c r="G31" s="7">
        <f t="shared" si="1"/>
        <v>0</v>
      </c>
    </row>
    <row r="32" spans="5:7" x14ac:dyDescent="0.35">
      <c r="E32" s="3">
        <v>-21</v>
      </c>
      <c r="F32" s="7">
        <f t="shared" si="0"/>
        <v>6.0004500348492789E-3</v>
      </c>
      <c r="G32" s="7">
        <f t="shared" si="1"/>
        <v>0</v>
      </c>
    </row>
    <row r="33" spans="5:7" x14ac:dyDescent="0.35">
      <c r="E33" s="3">
        <v>-20</v>
      </c>
      <c r="F33" s="7">
        <f t="shared" si="0"/>
        <v>6.4758797832945867E-3</v>
      </c>
      <c r="G33" s="7">
        <f t="shared" si="1"/>
        <v>0</v>
      </c>
    </row>
    <row r="34" spans="5:7" x14ac:dyDescent="0.35">
      <c r="E34" s="3">
        <v>-19</v>
      </c>
      <c r="F34" s="7">
        <f t="shared" si="0"/>
        <v>6.9715283222680146E-3</v>
      </c>
      <c r="G34" s="7">
        <f t="shared" si="1"/>
        <v>0</v>
      </c>
    </row>
    <row r="35" spans="5:7" x14ac:dyDescent="0.35">
      <c r="E35" s="3">
        <v>-18</v>
      </c>
      <c r="F35" s="7">
        <f t="shared" si="0"/>
        <v>7.486373281787243E-3</v>
      </c>
      <c r="G35" s="7">
        <f t="shared" si="1"/>
        <v>0</v>
      </c>
    </row>
    <row r="36" spans="5:7" x14ac:dyDescent="0.35">
      <c r="E36" s="3">
        <v>-17</v>
      </c>
      <c r="F36" s="7">
        <f t="shared" si="0"/>
        <v>8.0191663670959798E-3</v>
      </c>
      <c r="G36" s="7">
        <f t="shared" si="1"/>
        <v>0</v>
      </c>
    </row>
    <row r="37" spans="5:7" x14ac:dyDescent="0.35">
      <c r="E37" s="3">
        <v>-16</v>
      </c>
      <c r="F37" s="7">
        <f t="shared" si="0"/>
        <v>8.5684296023903674E-3</v>
      </c>
      <c r="G37" s="7">
        <f t="shared" si="1"/>
        <v>0</v>
      </c>
    </row>
    <row r="38" spans="5:7" x14ac:dyDescent="0.35">
      <c r="E38" s="3">
        <v>-15</v>
      </c>
      <c r="F38" s="7">
        <f t="shared" si="0"/>
        <v>9.132454269451095E-3</v>
      </c>
      <c r="G38" s="7">
        <f t="shared" si="1"/>
        <v>0</v>
      </c>
    </row>
    <row r="39" spans="5:7" x14ac:dyDescent="0.35">
      <c r="E39" s="3">
        <v>-14</v>
      </c>
      <c r="F39" s="7">
        <f t="shared" si="0"/>
        <v>9.709302749160648E-3</v>
      </c>
      <c r="G39" s="7">
        <f t="shared" si="1"/>
        <v>0</v>
      </c>
    </row>
    <row r="40" spans="5:7" x14ac:dyDescent="0.35">
      <c r="E40" s="3">
        <v>-13</v>
      </c>
      <c r="F40" s="7">
        <f t="shared" si="0"/>
        <v>1.0296813435998739E-2</v>
      </c>
      <c r="G40" s="7">
        <f t="shared" si="1"/>
        <v>0</v>
      </c>
    </row>
    <row r="41" spans="5:7" x14ac:dyDescent="0.35">
      <c r="E41" s="3">
        <v>-12</v>
      </c>
      <c r="F41" s="7">
        <f t="shared" si="0"/>
        <v>1.0892608851627527E-2</v>
      </c>
      <c r="G41" s="7">
        <f t="shared" si="1"/>
        <v>0</v>
      </c>
    </row>
    <row r="42" spans="5:7" x14ac:dyDescent="0.35">
      <c r="E42" s="3">
        <v>-11</v>
      </c>
      <c r="F42" s="7">
        <f t="shared" si="0"/>
        <v>1.1494107034211651E-2</v>
      </c>
      <c r="G42" s="7">
        <f t="shared" si="1"/>
        <v>0</v>
      </c>
    </row>
    <row r="43" spans="5:7" x14ac:dyDescent="0.35">
      <c r="E43" s="3">
        <v>-10</v>
      </c>
      <c r="F43" s="7">
        <f t="shared" si="0"/>
        <v>1.2098536225957168E-2</v>
      </c>
      <c r="G43" s="7">
        <f t="shared" si="1"/>
        <v>0</v>
      </c>
    </row>
    <row r="44" spans="5:7" x14ac:dyDescent="0.35">
      <c r="E44" s="3">
        <v>-9</v>
      </c>
      <c r="F44" s="7">
        <f t="shared" si="0"/>
        <v>1.270295282345945E-2</v>
      </c>
      <c r="G44" s="7">
        <f t="shared" si="1"/>
        <v>0</v>
      </c>
    </row>
    <row r="45" spans="5:7" x14ac:dyDescent="0.35">
      <c r="E45" s="3">
        <v>-8</v>
      </c>
      <c r="F45" s="7">
        <f t="shared" si="0"/>
        <v>1.3304262494937741E-2</v>
      </c>
      <c r="G45" s="7">
        <f t="shared" si="1"/>
        <v>0</v>
      </c>
    </row>
    <row r="46" spans="5:7" x14ac:dyDescent="0.35">
      <c r="E46" s="3">
        <v>-7</v>
      </c>
      <c r="F46" s="7">
        <f t="shared" si="0"/>
        <v>1.3899244306549824E-2</v>
      </c>
      <c r="G46" s="7">
        <f t="shared" si="1"/>
        <v>0</v>
      </c>
    </row>
    <row r="47" spans="5:7" x14ac:dyDescent="0.35">
      <c r="E47" s="3">
        <v>-6</v>
      </c>
      <c r="F47" s="7">
        <f t="shared" si="0"/>
        <v>1.4484577638074137E-2</v>
      </c>
      <c r="G47" s="7">
        <f t="shared" si="1"/>
        <v>0</v>
      </c>
    </row>
    <row r="48" spans="5:7" x14ac:dyDescent="0.35">
      <c r="E48" s="3">
        <v>-5</v>
      </c>
      <c r="F48" s="7">
        <f t="shared" si="0"/>
        <v>1.505687160774022E-2</v>
      </c>
      <c r="G48" s="7">
        <f t="shared" si="1"/>
        <v>0</v>
      </c>
    </row>
    <row r="49" spans="5:7" x14ac:dyDescent="0.35">
      <c r="E49" s="3">
        <v>-4</v>
      </c>
      <c r="F49" s="7">
        <f t="shared" si="0"/>
        <v>1.5612696668338064E-2</v>
      </c>
      <c r="G49" s="7">
        <f t="shared" si="1"/>
        <v>0</v>
      </c>
    </row>
    <row r="50" spans="5:7" x14ac:dyDescent="0.35">
      <c r="E50" s="3">
        <v>-3</v>
      </c>
      <c r="F50" s="7">
        <f t="shared" si="0"/>
        <v>1.6148617983395716E-2</v>
      </c>
      <c r="G50" s="7">
        <f t="shared" si="1"/>
        <v>0</v>
      </c>
    </row>
    <row r="51" spans="5:7" x14ac:dyDescent="0.35">
      <c r="E51" s="3">
        <v>-2</v>
      </c>
      <c r="F51" s="7">
        <f t="shared" si="0"/>
        <v>1.6661230144589981E-2</v>
      </c>
      <c r="G51" s="7">
        <f t="shared" si="1"/>
        <v>0</v>
      </c>
    </row>
    <row r="52" spans="5:7" x14ac:dyDescent="0.35">
      <c r="E52" s="3">
        <v>-1</v>
      </c>
      <c r="F52" s="7">
        <f t="shared" si="0"/>
        <v>1.7147192750969195E-2</v>
      </c>
      <c r="G52" s="7">
        <f t="shared" si="1"/>
        <v>0</v>
      </c>
    </row>
    <row r="53" spans="5:7" x14ac:dyDescent="0.35">
      <c r="E53" s="3">
        <v>0</v>
      </c>
      <c r="F53" s="7">
        <f t="shared" si="0"/>
        <v>1.7603266338214976E-2</v>
      </c>
      <c r="G53" s="7">
        <f t="shared" si="1"/>
        <v>2.6036290129968016E-2</v>
      </c>
    </row>
    <row r="54" spans="5:7" x14ac:dyDescent="0.35">
      <c r="E54" s="3">
        <v>1</v>
      </c>
      <c r="F54" s="7">
        <f t="shared" si="0"/>
        <v>1.80263481230824E-2</v>
      </c>
      <c r="G54" s="7">
        <f t="shared" si="1"/>
        <v>2.6662053547271965E-2</v>
      </c>
    </row>
    <row r="55" spans="5:7" x14ac:dyDescent="0.35">
      <c r="E55" s="3">
        <v>2</v>
      </c>
      <c r="F55" s="7">
        <f t="shared" si="0"/>
        <v>1.8413507015166166E-2</v>
      </c>
      <c r="G55" s="7">
        <f t="shared" si="1"/>
        <v>2.7234684844612892E-2</v>
      </c>
    </row>
    <row r="56" spans="5:7" x14ac:dyDescent="0.35">
      <c r="E56" s="3">
        <v>3</v>
      </c>
      <c r="F56" s="7">
        <f t="shared" si="0"/>
        <v>1.8762017345846895E-2</v>
      </c>
      <c r="G56" s="7">
        <f t="shared" si="1"/>
        <v>2.7750152594095041E-2</v>
      </c>
    </row>
    <row r="57" spans="5:7" x14ac:dyDescent="0.35">
      <c r="E57" s="3">
        <v>4</v>
      </c>
      <c r="F57" s="7">
        <f t="shared" si="0"/>
        <v>1.9069390773026204E-2</v>
      </c>
      <c r="G57" s="7">
        <f t="shared" si="1"/>
        <v>2.8204776388027514E-2</v>
      </c>
    </row>
    <row r="58" spans="5:7" x14ac:dyDescent="0.35">
      <c r="E58" s="3">
        <v>5</v>
      </c>
      <c r="F58" s="7">
        <f t="shared" si="0"/>
        <v>1.933340584014246E-2</v>
      </c>
      <c r="G58" s="7">
        <f t="shared" si="1"/>
        <v>2.8595270558487179E-2</v>
      </c>
    </row>
    <row r="59" spans="5:7" x14ac:dyDescent="0.35">
      <c r="E59" s="3">
        <v>6</v>
      </c>
      <c r="F59" s="7">
        <f t="shared" si="0"/>
        <v>1.9552134698772795E-2</v>
      </c>
      <c r="G59" s="7">
        <f t="shared" si="1"/>
        <v>2.8918783701654998E-2</v>
      </c>
    </row>
    <row r="60" spans="5:7" x14ac:dyDescent="0.35">
      <c r="E60" s="3">
        <v>7</v>
      </c>
      <c r="F60" s="7">
        <f t="shared" si="0"/>
        <v>1.9723966545394447E-2</v>
      </c>
      <c r="G60" s="7">
        <f t="shared" si="1"/>
        <v>2.9172933342196262E-2</v>
      </c>
    </row>
    <row r="61" spans="5:7" x14ac:dyDescent="0.35">
      <c r="E61" s="3">
        <v>8</v>
      </c>
      <c r="F61" s="7">
        <f t="shared" si="0"/>
        <v>1.9847627373850589E-2</v>
      </c>
      <c r="G61" s="7">
        <f t="shared" si="1"/>
        <v>2.935583514834611E-2</v>
      </c>
    </row>
    <row r="62" spans="5:7" x14ac:dyDescent="0.35">
      <c r="E62" s="3">
        <v>9</v>
      </c>
      <c r="F62" s="7">
        <f t="shared" si="0"/>
        <v>1.9922195704738202E-2</v>
      </c>
      <c r="G62" s="7">
        <f t="shared" si="1"/>
        <v>2.9466126196620632E-2</v>
      </c>
    </row>
    <row r="63" spans="5:7" x14ac:dyDescent="0.35">
      <c r="E63" s="3">
        <v>10</v>
      </c>
      <c r="F63" s="7">
        <f t="shared" si="0"/>
        <v>1.9947114020071637E-2</v>
      </c>
      <c r="G63" s="7">
        <f t="shared" si="1"/>
        <v>2.9502981884372337E-2</v>
      </c>
    </row>
    <row r="64" spans="5:7" x14ac:dyDescent="0.35">
      <c r="E64" s="3">
        <v>11</v>
      </c>
      <c r="F64" s="7">
        <f t="shared" si="0"/>
        <v>1.9922195704738202E-2</v>
      </c>
      <c r="G64" s="7">
        <f t="shared" si="1"/>
        <v>2.9466126196620632E-2</v>
      </c>
    </row>
    <row r="65" spans="5:7" x14ac:dyDescent="0.35">
      <c r="E65" s="3">
        <v>12</v>
      </c>
      <c r="F65" s="7">
        <f t="shared" si="0"/>
        <v>1.9847627373850589E-2</v>
      </c>
      <c r="G65" s="7">
        <f t="shared" si="1"/>
        <v>2.935583514834611E-2</v>
      </c>
    </row>
    <row r="66" spans="5:7" x14ac:dyDescent="0.35">
      <c r="E66" s="3">
        <v>13</v>
      </c>
      <c r="F66" s="7">
        <f t="shared" si="0"/>
        <v>1.9723966545394447E-2</v>
      </c>
      <c r="G66" s="7">
        <f t="shared" si="1"/>
        <v>2.9172933342196262E-2</v>
      </c>
    </row>
    <row r="67" spans="5:7" x14ac:dyDescent="0.35">
      <c r="E67" s="3">
        <v>14</v>
      </c>
      <c r="F67" s="7">
        <f t="shared" si="0"/>
        <v>1.9552134698772795E-2</v>
      </c>
      <c r="G67" s="7">
        <f t="shared" si="1"/>
        <v>2.8918783701654998E-2</v>
      </c>
    </row>
    <row r="68" spans="5:7" x14ac:dyDescent="0.35">
      <c r="E68" s="3">
        <v>15</v>
      </c>
      <c r="F68" s="7">
        <f t="shared" ref="F68:F102" si="2">_xlfn.NORM.DIST(E68,C$3,C$4,FALSE)</f>
        <v>1.933340584014246E-2</v>
      </c>
      <c r="G68" s="7">
        <f t="shared" ref="G68:G102" si="3">IF(E68&lt;0,0,F68/SUMIF(E:E,"&gt;=0",F:F))</f>
        <v>2.8595270558487179E-2</v>
      </c>
    </row>
    <row r="69" spans="5:7" x14ac:dyDescent="0.35">
      <c r="E69" s="3">
        <v>16</v>
      </c>
      <c r="F69" s="7">
        <f t="shared" si="2"/>
        <v>1.9069390773026204E-2</v>
      </c>
      <c r="G69" s="7">
        <f t="shared" si="3"/>
        <v>2.8204776388027514E-2</v>
      </c>
    </row>
    <row r="70" spans="5:7" x14ac:dyDescent="0.35">
      <c r="E70" s="3">
        <v>17</v>
      </c>
      <c r="F70" s="7">
        <f t="shared" si="2"/>
        <v>1.8762017345846895E-2</v>
      </c>
      <c r="G70" s="7">
        <f t="shared" si="3"/>
        <v>2.7750152594095041E-2</v>
      </c>
    </row>
    <row r="71" spans="5:7" x14ac:dyDescent="0.35">
      <c r="E71" s="3">
        <v>18</v>
      </c>
      <c r="F71" s="7">
        <f t="shared" si="2"/>
        <v>1.8413507015166166E-2</v>
      </c>
      <c r="G71" s="7">
        <f t="shared" si="3"/>
        <v>2.7234684844612892E-2</v>
      </c>
    </row>
    <row r="72" spans="5:7" x14ac:dyDescent="0.35">
      <c r="E72" s="3">
        <v>19</v>
      </c>
      <c r="F72" s="7">
        <f t="shared" si="2"/>
        <v>1.80263481230824E-2</v>
      </c>
      <c r="G72" s="7">
        <f t="shared" si="3"/>
        <v>2.6662053547271965E-2</v>
      </c>
    </row>
    <row r="73" spans="5:7" x14ac:dyDescent="0.35">
      <c r="E73" s="3">
        <v>20</v>
      </c>
      <c r="F73" s="7">
        <f t="shared" si="2"/>
        <v>1.7603266338214976E-2</v>
      </c>
      <c r="G73" s="7">
        <f t="shared" si="3"/>
        <v>2.6036290129968016E-2</v>
      </c>
    </row>
    <row r="74" spans="5:7" x14ac:dyDescent="0.35">
      <c r="E74" s="3">
        <v>21</v>
      </c>
      <c r="F74" s="7">
        <f t="shared" si="2"/>
        <v>1.7147192750969195E-2</v>
      </c>
      <c r="G74" s="7">
        <f t="shared" si="3"/>
        <v>2.5361729851778727E-2</v>
      </c>
    </row>
    <row r="75" spans="5:7" x14ac:dyDescent="0.35">
      <c r="E75" s="3">
        <v>22</v>
      </c>
      <c r="F75" s="7">
        <f t="shared" si="2"/>
        <v>1.6661230144589981E-2</v>
      </c>
      <c r="G75" s="7">
        <f t="shared" si="3"/>
        <v>2.4642961915822607E-2</v>
      </c>
    </row>
    <row r="76" spans="5:7" x14ac:dyDescent="0.35">
      <c r="E76" s="3">
        <v>23</v>
      </c>
      <c r="F76" s="7">
        <f t="shared" si="2"/>
        <v>1.6148617983395716E-2</v>
      </c>
      <c r="G76" s="7">
        <f t="shared" si="3"/>
        <v>2.3884777684750114E-2</v>
      </c>
    </row>
    <row r="77" spans="5:7" x14ac:dyDescent="0.35">
      <c r="E77" s="3">
        <v>24</v>
      </c>
      <c r="F77" s="7">
        <f t="shared" si="2"/>
        <v>1.5612696668338064E-2</v>
      </c>
      <c r="G77" s="7">
        <f t="shared" si="3"/>
        <v>2.309211781256585E-2</v>
      </c>
    </row>
    <row r="78" spans="5:7" x14ac:dyDescent="0.35">
      <c r="E78" s="3">
        <v>25</v>
      </c>
      <c r="F78" s="7">
        <f t="shared" si="2"/>
        <v>1.505687160774022E-2</v>
      </c>
      <c r="G78" s="7">
        <f t="shared" si="3"/>
        <v>2.2270019103088505E-2</v>
      </c>
    </row>
    <row r="79" spans="5:7" x14ac:dyDescent="0.35">
      <c r="E79" s="3">
        <v>26</v>
      </c>
      <c r="F79" s="7">
        <f t="shared" si="2"/>
        <v>1.4484577638074137E-2</v>
      </c>
      <c r="G79" s="7">
        <f t="shared" si="3"/>
        <v>2.1423561886139517E-2</v>
      </c>
    </row>
    <row r="80" spans="5:7" x14ac:dyDescent="0.35">
      <c r="E80" s="3">
        <v>27</v>
      </c>
      <c r="F80" s="7">
        <f t="shared" si="2"/>
        <v>1.3899244306549824E-2</v>
      </c>
      <c r="G80" s="7">
        <f t="shared" si="3"/>
        <v>2.0557818668403647E-2</v>
      </c>
    </row>
    <row r="81" spans="5:7" x14ac:dyDescent="0.35">
      <c r="E81" s="3">
        <v>28</v>
      </c>
      <c r="F81" s="7">
        <f t="shared" si="2"/>
        <v>1.3304262494937741E-2</v>
      </c>
      <c r="G81" s="7">
        <f t="shared" si="3"/>
        <v>1.9677804768054002E-2</v>
      </c>
    </row>
    <row r="82" spans="5:7" x14ac:dyDescent="0.35">
      <c r="E82" s="3">
        <v>29</v>
      </c>
      <c r="F82" s="7">
        <f t="shared" si="2"/>
        <v>1.270295282345945E-2</v>
      </c>
      <c r="G82" s="7">
        <f t="shared" si="3"/>
        <v>1.8788431582205126E-2</v>
      </c>
    </row>
    <row r="83" spans="5:7" x14ac:dyDescent="0.35">
      <c r="E83" s="3">
        <v>30</v>
      </c>
      <c r="F83" s="7">
        <f t="shared" si="2"/>
        <v>1.2098536225957168E-2</v>
      </c>
      <c r="G83" s="7">
        <f t="shared" si="3"/>
        <v>1.7894463065818225E-2</v>
      </c>
    </row>
    <row r="84" spans="5:7" x14ac:dyDescent="0.35">
      <c r="E84" s="3">
        <v>31</v>
      </c>
      <c r="F84" s="7">
        <f t="shared" si="2"/>
        <v>1.1494107034211651E-2</v>
      </c>
      <c r="G84" s="7">
        <f t="shared" si="3"/>
        <v>1.7000475921787762E-2</v>
      </c>
    </row>
    <row r="85" spans="5:7" x14ac:dyDescent="0.35">
      <c r="E85" s="3">
        <v>32</v>
      </c>
      <c r="F85" s="7">
        <f t="shared" si="2"/>
        <v>1.0892608851627527E-2</v>
      </c>
      <c r="G85" s="7">
        <f t="shared" si="3"/>
        <v>1.6110823916670354E-2</v>
      </c>
    </row>
    <row r="86" spans="5:7" x14ac:dyDescent="0.35">
      <c r="E86" s="3">
        <v>33</v>
      </c>
      <c r="F86" s="7">
        <f t="shared" si="2"/>
        <v>1.0296813435998739E-2</v>
      </c>
      <c r="G86" s="7">
        <f t="shared" si="3"/>
        <v>1.5229606647024193E-2</v>
      </c>
    </row>
    <row r="87" spans="5:7" x14ac:dyDescent="0.35">
      <c r="E87" s="3">
        <v>34</v>
      </c>
      <c r="F87" s="7">
        <f t="shared" si="2"/>
        <v>9.709302749160648E-3</v>
      </c>
      <c r="G87" s="7">
        <f t="shared" si="3"/>
        <v>1.4360642989764409E-2</v>
      </c>
    </row>
    <row r="88" spans="5:7" x14ac:dyDescent="0.35">
      <c r="E88" s="3">
        <v>35</v>
      </c>
      <c r="F88" s="7">
        <f t="shared" si="2"/>
        <v>9.132454269451095E-3</v>
      </c>
      <c r="G88" s="7">
        <f t="shared" si="3"/>
        <v>1.350744937840922E-2</v>
      </c>
    </row>
    <row r="89" spans="5:7" x14ac:dyDescent="0.35">
      <c r="E89" s="3">
        <v>36</v>
      </c>
      <c r="F89" s="7">
        <f t="shared" si="2"/>
        <v>8.5684296023903674E-3</v>
      </c>
      <c r="G89" s="7">
        <f t="shared" si="3"/>
        <v>1.2673222957590274E-2</v>
      </c>
    </row>
    <row r="90" spans="5:7" x14ac:dyDescent="0.35">
      <c r="E90" s="3">
        <v>37</v>
      </c>
      <c r="F90" s="7">
        <f t="shared" si="2"/>
        <v>8.0191663670959798E-3</v>
      </c>
      <c r="G90" s="7">
        <f t="shared" si="3"/>
        <v>1.1860829582571912E-2</v>
      </c>
    </row>
    <row r="91" spans="5:7" x14ac:dyDescent="0.35">
      <c r="E91" s="3">
        <v>38</v>
      </c>
      <c r="F91" s="7">
        <f t="shared" si="2"/>
        <v>7.486373281787243E-3</v>
      </c>
      <c r="G91" s="7">
        <f t="shared" si="3"/>
        <v>1.1072796550416715E-2</v>
      </c>
    </row>
    <row r="92" spans="5:7" x14ac:dyDescent="0.35">
      <c r="E92" s="3">
        <v>39</v>
      </c>
      <c r="F92" s="7">
        <f t="shared" si="2"/>
        <v>6.9715283222680146E-3</v>
      </c>
      <c r="G92" s="7">
        <f t="shared" si="3"/>
        <v>1.0311309876270675E-2</v>
      </c>
    </row>
    <row r="93" spans="5:7" x14ac:dyDescent="0.35">
      <c r="E93" s="3">
        <v>40</v>
      </c>
      <c r="F93" s="7">
        <f t="shared" si="2"/>
        <v>6.4758797832945867E-3</v>
      </c>
      <c r="G93" s="7">
        <f t="shared" si="3"/>
        <v>9.5782158631901732E-3</v>
      </c>
    </row>
    <row r="94" spans="5:7" x14ac:dyDescent="0.35">
      <c r="E94" s="3">
        <v>41</v>
      </c>
      <c r="F94" s="7">
        <f t="shared" si="2"/>
        <v>6.0004500348492789E-3</v>
      </c>
      <c r="G94" s="7">
        <f t="shared" si="3"/>
        <v>8.8750266578966428E-3</v>
      </c>
    </row>
    <row r="95" spans="5:7" x14ac:dyDescent="0.35">
      <c r="E95" s="3">
        <v>42</v>
      </c>
      <c r="F95" s="7">
        <f t="shared" si="2"/>
        <v>5.5460417339727773E-3</v>
      </c>
      <c r="G95" s="7">
        <f t="shared" si="3"/>
        <v>8.2029294384503727E-3</v>
      </c>
    </row>
    <row r="96" spans="5:7" x14ac:dyDescent="0.35">
      <c r="E96" s="3">
        <v>43</v>
      </c>
      <c r="F96" s="7">
        <f t="shared" si="2"/>
        <v>5.1132462281989017E-3</v>
      </c>
      <c r="G96" s="7">
        <f t="shared" si="3"/>
        <v>7.5627988434361793E-3</v>
      </c>
    </row>
    <row r="97" spans="5:7" x14ac:dyDescent="0.35">
      <c r="E97" s="3">
        <v>44</v>
      </c>
      <c r="F97" s="7">
        <f t="shared" si="2"/>
        <v>4.7024538688443468E-3</v>
      </c>
      <c r="G97" s="7">
        <f t="shared" si="3"/>
        <v>6.955212225939496E-3</v>
      </c>
    </row>
    <row r="98" spans="5:7" x14ac:dyDescent="0.35">
      <c r="E98" s="3">
        <v>45</v>
      </c>
      <c r="F98" s="7">
        <f t="shared" si="2"/>
        <v>4.3138659413255757E-3</v>
      </c>
      <c r="G98" s="7">
        <f t="shared" si="3"/>
        <v>6.3804672992029254E-3</v>
      </c>
    </row>
    <row r="99" spans="5:7" x14ac:dyDescent="0.35">
      <c r="E99" s="3">
        <v>46</v>
      </c>
      <c r="F99" s="7">
        <f t="shared" si="2"/>
        <v>3.9475079150447069E-3</v>
      </c>
      <c r="G99" s="7">
        <f t="shared" si="3"/>
        <v>5.8386017340047343E-3</v>
      </c>
    </row>
    <row r="100" spans="5:7" x14ac:dyDescent="0.35">
      <c r="E100" s="3">
        <v>47</v>
      </c>
      <c r="F100" s="7">
        <f t="shared" si="2"/>
        <v>3.6032437168108996E-3</v>
      </c>
      <c r="G100" s="7">
        <f t="shared" si="3"/>
        <v>5.3294142699079347E-3</v>
      </c>
    </row>
    <row r="101" spans="5:7" x14ac:dyDescent="0.35">
      <c r="E101" s="3">
        <v>48</v>
      </c>
      <c r="F101" s="7">
        <f t="shared" si="2"/>
        <v>3.2807907387338302E-3</v>
      </c>
      <c r="G101" s="7">
        <f t="shared" si="3"/>
        <v>4.8524869128377859E-3</v>
      </c>
    </row>
    <row r="102" spans="5:7" x14ac:dyDescent="0.35">
      <c r="E102" s="3">
        <v>49</v>
      </c>
      <c r="F102" s="7">
        <f t="shared" si="2"/>
        <v>2.9797353034408036E-3</v>
      </c>
      <c r="G102" s="7">
        <f t="shared" si="3"/>
        <v>4.4072078090684631E-3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4638C-74A7-482A-932F-F0C23FE05A25}">
  <dimension ref="B2:I102"/>
  <sheetViews>
    <sheetView zoomScale="70" zoomScaleNormal="70" workbookViewId="0">
      <selection activeCell="W23" sqref="W23"/>
    </sheetView>
  </sheetViews>
  <sheetFormatPr defaultRowHeight="14.5" x14ac:dyDescent="0.35"/>
  <cols>
    <col min="1" max="1" width="3.36328125" style="1" customWidth="1"/>
    <col min="2" max="2" width="14.90625" style="1" bestFit="1" customWidth="1"/>
    <col min="3" max="3" width="8.7265625" style="1"/>
    <col min="4" max="4" width="8.7265625" style="1" customWidth="1"/>
    <col min="5" max="5" width="12" style="3" customWidth="1"/>
    <col min="6" max="7" width="12" style="7" customWidth="1"/>
    <col min="8" max="16384" width="8.7265625" style="1"/>
  </cols>
  <sheetData>
    <row r="2" spans="2:9" x14ac:dyDescent="0.35">
      <c r="B2" s="5" t="s">
        <v>9</v>
      </c>
      <c r="C2" s="5" t="s">
        <v>10</v>
      </c>
      <c r="E2" s="6" t="s">
        <v>24</v>
      </c>
      <c r="F2" s="8" t="s">
        <v>20</v>
      </c>
      <c r="G2" s="8" t="s">
        <v>27</v>
      </c>
      <c r="I2" s="1" t="str">
        <f>"t-Dist - d.f. = "&amp;C3</f>
        <v>t-Dist - d.f. = 5</v>
      </c>
    </row>
    <row r="3" spans="2:9" x14ac:dyDescent="0.35">
      <c r="B3" s="1" t="s">
        <v>19</v>
      </c>
      <c r="C3" s="4">
        <v>5</v>
      </c>
      <c r="E3" s="10">
        <v>-9.9</v>
      </c>
      <c r="F3" s="7">
        <f>_xlfn.T.DIST(E3,C$3,FALSE)</f>
        <v>4.3411591622687521E-5</v>
      </c>
      <c r="G3" s="7">
        <f>IF(E3&lt;0,0,F3/SUMIF(E:E,"&gt;=0",F:F))</f>
        <v>0</v>
      </c>
    </row>
    <row r="4" spans="2:9" x14ac:dyDescent="0.35">
      <c r="E4" s="10">
        <v>-9.6999999999999993</v>
      </c>
      <c r="F4" s="7">
        <f t="shared" ref="F4:F67" si="0">_xlfn.T.DIST(E4,C$3,FALSE)</f>
        <v>4.8770182998915367E-5</v>
      </c>
      <c r="G4" s="7">
        <f t="shared" ref="G4:G67" si="1">IF(E4&lt;0,0,F4/SUMIF(E:E,"&gt;=0",F:F))</f>
        <v>0</v>
      </c>
    </row>
    <row r="5" spans="2:9" x14ac:dyDescent="0.35">
      <c r="E5" s="10">
        <v>-9.5</v>
      </c>
      <c r="F5" s="7">
        <f t="shared" si="0"/>
        <v>5.4909680584003134E-5</v>
      </c>
      <c r="G5" s="7">
        <f t="shared" si="1"/>
        <v>0</v>
      </c>
    </row>
    <row r="6" spans="2:9" x14ac:dyDescent="0.35">
      <c r="E6" s="10">
        <v>-9.3000000000000007</v>
      </c>
      <c r="F6" s="7">
        <f t="shared" si="0"/>
        <v>6.1961651912105582E-5</v>
      </c>
      <c r="G6" s="7">
        <f t="shared" si="1"/>
        <v>0</v>
      </c>
    </row>
    <row r="7" spans="2:9" x14ac:dyDescent="0.35">
      <c r="E7" s="10">
        <v>-9.1</v>
      </c>
      <c r="F7" s="7">
        <f t="shared" si="0"/>
        <v>7.0082879749243788E-5</v>
      </c>
      <c r="G7" s="7">
        <f t="shared" si="1"/>
        <v>0</v>
      </c>
    </row>
    <row r="8" spans="2:9" x14ac:dyDescent="0.35">
      <c r="E8" s="10">
        <v>-8.8999999999999897</v>
      </c>
      <c r="F8" s="7">
        <f t="shared" si="0"/>
        <v>7.9460788143787011E-5</v>
      </c>
      <c r="G8" s="7">
        <f t="shared" si="1"/>
        <v>0</v>
      </c>
    </row>
    <row r="9" spans="2:9" x14ac:dyDescent="0.35">
      <c r="E9" s="10">
        <v>-8.6999999999999904</v>
      </c>
      <c r="F9" s="7">
        <f t="shared" si="0"/>
        <v>9.0320165357032364E-5</v>
      </c>
      <c r="G9" s="7">
        <f t="shared" si="1"/>
        <v>0</v>
      </c>
    </row>
    <row r="10" spans="2:9" x14ac:dyDescent="0.35">
      <c r="E10" s="10">
        <v>-8.4999999999999893</v>
      </c>
      <c r="F10" s="7">
        <f t="shared" si="0"/>
        <v>1.0293152474836157E-4</v>
      </c>
      <c r="G10" s="7">
        <f t="shared" si="1"/>
        <v>0</v>
      </c>
    </row>
    <row r="11" spans="2:9" x14ac:dyDescent="0.35">
      <c r="E11" s="10">
        <v>-8.2999999999999901</v>
      </c>
      <c r="F11" s="7">
        <f t="shared" si="0"/>
        <v>1.1762154257034821E-4</v>
      </c>
      <c r="G11" s="7">
        <f t="shared" si="1"/>
        <v>0</v>
      </c>
    </row>
    <row r="12" spans="2:9" x14ac:dyDescent="0.35">
      <c r="E12" s="10">
        <v>-8.0999999999999908</v>
      </c>
      <c r="F12" s="7">
        <f t="shared" si="0"/>
        <v>1.3478613992266205E-4</v>
      </c>
      <c r="G12" s="7">
        <f t="shared" si="1"/>
        <v>0</v>
      </c>
    </row>
    <row r="13" spans="2:9" x14ac:dyDescent="0.35">
      <c r="E13" s="10">
        <v>-7.8999999999999897</v>
      </c>
      <c r="F13" s="7">
        <f t="shared" si="0"/>
        <v>1.5490694497217954E-4</v>
      </c>
      <c r="G13" s="7">
        <f t="shared" si="1"/>
        <v>0</v>
      </c>
    </row>
    <row r="14" spans="2:9" x14ac:dyDescent="0.35">
      <c r="E14" s="10">
        <v>-7.6999999999999904</v>
      </c>
      <c r="F14" s="7">
        <f t="shared" si="0"/>
        <v>1.7857209473517806E-4</v>
      </c>
      <c r="G14" s="7">
        <f t="shared" si="1"/>
        <v>0</v>
      </c>
    </row>
    <row r="15" spans="2:9" x14ac:dyDescent="0.35">
      <c r="E15" s="10">
        <v>-7.4999999999999902</v>
      </c>
      <c r="F15" s="7">
        <f t="shared" si="0"/>
        <v>2.0650263197001116E-4</v>
      </c>
      <c r="G15" s="7">
        <f t="shared" si="1"/>
        <v>0</v>
      </c>
    </row>
    <row r="16" spans="2:9" x14ac:dyDescent="0.35">
      <c r="E16" s="10">
        <v>-7.2999999999999901</v>
      </c>
      <c r="F16" s="7">
        <f t="shared" si="0"/>
        <v>2.3958614763849555E-4</v>
      </c>
      <c r="G16" s="7">
        <f t="shared" si="1"/>
        <v>0</v>
      </c>
    </row>
    <row r="17" spans="5:7" x14ac:dyDescent="0.35">
      <c r="E17" s="10">
        <v>-7.0999999999999899</v>
      </c>
      <c r="F17" s="7">
        <f t="shared" si="0"/>
        <v>2.789198480503593E-4</v>
      </c>
      <c r="G17" s="7">
        <f t="shared" si="1"/>
        <v>0</v>
      </c>
    </row>
    <row r="18" spans="5:7" x14ac:dyDescent="0.35">
      <c r="E18" s="10">
        <v>-6.8999999999999799</v>
      </c>
      <c r="F18" s="7">
        <f t="shared" si="0"/>
        <v>3.2586593647670006E-4</v>
      </c>
      <c r="G18" s="7">
        <f t="shared" si="1"/>
        <v>0</v>
      </c>
    </row>
    <row r="19" spans="5:7" x14ac:dyDescent="0.35">
      <c r="E19" s="10">
        <v>-6.6999999999999797</v>
      </c>
      <c r="F19" s="7">
        <f t="shared" si="0"/>
        <v>3.8212315830792173E-4</v>
      </c>
      <c r="G19" s="7">
        <f t="shared" si="1"/>
        <v>0</v>
      </c>
    </row>
    <row r="20" spans="5:7" x14ac:dyDescent="0.35">
      <c r="E20" s="10">
        <v>-6.4999999999999796</v>
      </c>
      <c r="F20" s="7">
        <f t="shared" si="0"/>
        <v>4.4981965887894621E-4</v>
      </c>
      <c r="G20" s="7">
        <f t="shared" si="1"/>
        <v>0</v>
      </c>
    </row>
    <row r="21" spans="5:7" x14ac:dyDescent="0.35">
      <c r="E21" s="10">
        <v>-6.2999999999999803</v>
      </c>
      <c r="F21" s="7">
        <f t="shared" si="0"/>
        <v>5.3163407162113091E-4</v>
      </c>
      <c r="G21" s="7">
        <f t="shared" si="1"/>
        <v>0</v>
      </c>
    </row>
    <row r="22" spans="5:7" x14ac:dyDescent="0.35">
      <c r="E22" s="10">
        <v>-6.0999999999999801</v>
      </c>
      <c r="F22" s="7">
        <f t="shared" si="0"/>
        <v>6.3095416852989065E-4</v>
      </c>
      <c r="G22" s="7">
        <f t="shared" si="1"/>
        <v>0</v>
      </c>
    </row>
    <row r="23" spans="5:7" x14ac:dyDescent="0.35">
      <c r="E23" s="10">
        <v>-5.8999999999999799</v>
      </c>
      <c r="F23" s="7">
        <f t="shared" si="0"/>
        <v>7.5208571124567932E-4</v>
      </c>
      <c r="G23" s="7">
        <f t="shared" si="1"/>
        <v>0</v>
      </c>
    </row>
    <row r="24" spans="5:7" x14ac:dyDescent="0.35">
      <c r="E24" s="10">
        <v>-5.6999999999999797</v>
      </c>
      <c r="F24" s="7">
        <f t="shared" si="0"/>
        <v>9.0052868079856373E-4</v>
      </c>
      <c r="G24" s="7">
        <f t="shared" si="1"/>
        <v>0</v>
      </c>
    </row>
    <row r="25" spans="5:7" x14ac:dyDescent="0.35">
      <c r="E25" s="10">
        <v>-5.4999999999999796</v>
      </c>
      <c r="F25" s="7">
        <f t="shared" si="0"/>
        <v>1.0833443094854147E-3</v>
      </c>
      <c r="G25" s="7">
        <f t="shared" si="1"/>
        <v>0</v>
      </c>
    </row>
    <row r="26" spans="5:7" x14ac:dyDescent="0.35">
      <c r="E26" s="10">
        <v>-5.2999999999999803</v>
      </c>
      <c r="F26" s="7">
        <f t="shared" si="0"/>
        <v>1.3096449388495196E-3</v>
      </c>
      <c r="G26" s="7">
        <f t="shared" si="1"/>
        <v>0</v>
      </c>
    </row>
    <row r="27" spans="5:7" x14ac:dyDescent="0.35">
      <c r="E27" s="10">
        <v>-5.0999999999999703</v>
      </c>
      <c r="F27" s="7">
        <f t="shared" si="0"/>
        <v>1.5912505680814298E-3</v>
      </c>
      <c r="G27" s="7">
        <f t="shared" si="1"/>
        <v>0</v>
      </c>
    </row>
    <row r="28" spans="5:7" x14ac:dyDescent="0.35">
      <c r="E28" s="10">
        <v>-4.8999999999999702</v>
      </c>
      <c r="F28" s="7">
        <f t="shared" si="0"/>
        <v>1.9435722247554525E-3</v>
      </c>
      <c r="G28" s="7">
        <f t="shared" si="1"/>
        <v>0</v>
      </c>
    </row>
    <row r="29" spans="5:7" x14ac:dyDescent="0.35">
      <c r="E29" s="10">
        <v>-4.69999999999997</v>
      </c>
      <c r="F29" s="7">
        <f t="shared" si="0"/>
        <v>2.3868045403493822E-3</v>
      </c>
      <c r="G29" s="7">
        <f t="shared" si="1"/>
        <v>0</v>
      </c>
    </row>
    <row r="30" spans="5:7" x14ac:dyDescent="0.35">
      <c r="E30" s="10">
        <v>-4.4999999999999698</v>
      </c>
      <c r="F30" s="7">
        <f t="shared" si="0"/>
        <v>2.9475401058332014E-3</v>
      </c>
      <c r="G30" s="7">
        <f t="shared" si="1"/>
        <v>0</v>
      </c>
    </row>
    <row r="31" spans="5:7" x14ac:dyDescent="0.35">
      <c r="E31" s="10">
        <v>-4.2999999999999696</v>
      </c>
      <c r="F31" s="7">
        <f t="shared" si="0"/>
        <v>3.6609586202407483E-3</v>
      </c>
      <c r="G31" s="7">
        <f t="shared" si="1"/>
        <v>0</v>
      </c>
    </row>
    <row r="32" spans="5:7" x14ac:dyDescent="0.35">
      <c r="E32" s="10">
        <v>-4.0999999999999703</v>
      </c>
      <c r="F32" s="7">
        <f t="shared" si="0"/>
        <v>4.5737968776918712E-3</v>
      </c>
      <c r="G32" s="7">
        <f t="shared" si="1"/>
        <v>0</v>
      </c>
    </row>
    <row r="33" spans="5:7" x14ac:dyDescent="0.35">
      <c r="E33" s="10">
        <v>-3.8999999999999702</v>
      </c>
      <c r="F33" s="7">
        <f t="shared" si="0"/>
        <v>5.748372854769597E-3</v>
      </c>
      <c r="G33" s="7">
        <f t="shared" si="1"/>
        <v>0</v>
      </c>
    </row>
    <row r="34" spans="5:7" x14ac:dyDescent="0.35">
      <c r="E34" s="10">
        <v>-3.69999999999997</v>
      </c>
      <c r="F34" s="7">
        <f t="shared" si="0"/>
        <v>7.2680175325696549E-3</v>
      </c>
      <c r="G34" s="7">
        <f t="shared" si="1"/>
        <v>0</v>
      </c>
    </row>
    <row r="35" spans="5:7" x14ac:dyDescent="0.35">
      <c r="E35" s="10">
        <v>-3.4999999999999698</v>
      </c>
      <c r="F35" s="7">
        <f t="shared" si="0"/>
        <v>9.244354092521263E-3</v>
      </c>
      <c r="G35" s="7">
        <f t="shared" si="1"/>
        <v>0</v>
      </c>
    </row>
    <row r="36" spans="5:7" x14ac:dyDescent="0.35">
      <c r="E36" s="10">
        <v>-3.2999999999999599</v>
      </c>
      <c r="F36" s="7">
        <f t="shared" si="0"/>
        <v>1.1826934151171755E-2</v>
      </c>
      <c r="G36" s="7">
        <f t="shared" si="1"/>
        <v>0</v>
      </c>
    </row>
    <row r="37" spans="5:7" x14ac:dyDescent="0.35">
      <c r="E37" s="10">
        <v>-3.0999999999999601</v>
      </c>
      <c r="F37" s="7">
        <f t="shared" si="0"/>
        <v>1.5215745044953604E-2</v>
      </c>
      <c r="G37" s="7">
        <f t="shared" si="1"/>
        <v>0</v>
      </c>
    </row>
    <row r="38" spans="5:7" x14ac:dyDescent="0.35">
      <c r="E38" s="10">
        <v>-2.8999999999999599</v>
      </c>
      <c r="F38" s="7">
        <f t="shared" si="0"/>
        <v>1.9676938890599547E-2</v>
      </c>
      <c r="G38" s="7">
        <f t="shared" si="1"/>
        <v>0</v>
      </c>
    </row>
    <row r="39" spans="5:7" x14ac:dyDescent="0.35">
      <c r="E39" s="10">
        <v>-2.6999999999999602</v>
      </c>
      <c r="F39" s="7">
        <f t="shared" si="0"/>
        <v>2.5561611020545907E-2</v>
      </c>
      <c r="G39" s="7">
        <f t="shared" si="1"/>
        <v>0</v>
      </c>
    </row>
    <row r="40" spans="5:7" x14ac:dyDescent="0.35">
      <c r="E40" s="10">
        <v>-2.49999999999996</v>
      </c>
      <c r="F40" s="7">
        <f t="shared" si="0"/>
        <v>3.3326238887024601E-2</v>
      </c>
      <c r="G40" s="7">
        <f t="shared" si="1"/>
        <v>0</v>
      </c>
    </row>
    <row r="41" spans="5:7" x14ac:dyDescent="0.35">
      <c r="E41" s="10">
        <v>-2.2999999999999599</v>
      </c>
      <c r="F41" s="7">
        <f t="shared" si="0"/>
        <v>4.3550961350442355E-2</v>
      </c>
      <c r="G41" s="7">
        <f t="shared" si="1"/>
        <v>0</v>
      </c>
    </row>
    <row r="42" spans="5:7" x14ac:dyDescent="0.35">
      <c r="E42" s="10">
        <v>-2.0999999999999601</v>
      </c>
      <c r="F42" s="7">
        <f t="shared" si="0"/>
        <v>5.6947544172173618E-2</v>
      </c>
      <c r="G42" s="7">
        <f t="shared" si="1"/>
        <v>0</v>
      </c>
    </row>
    <row r="43" spans="5:7" x14ac:dyDescent="0.35">
      <c r="E43" s="10">
        <v>-1.8999999999999599</v>
      </c>
      <c r="F43" s="7">
        <f t="shared" si="0"/>
        <v>7.4342030033200154E-2</v>
      </c>
      <c r="G43" s="7">
        <f t="shared" si="1"/>
        <v>0</v>
      </c>
    </row>
    <row r="44" spans="5:7" x14ac:dyDescent="0.35">
      <c r="E44" s="10">
        <v>-1.69999999999996</v>
      </c>
      <c r="F44" s="7">
        <f t="shared" si="0"/>
        <v>9.6607948713916814E-2</v>
      </c>
      <c r="G44" s="7">
        <f t="shared" si="1"/>
        <v>0</v>
      </c>
    </row>
    <row r="45" spans="5:7" x14ac:dyDescent="0.35">
      <c r="E45" s="10">
        <v>-1.49999999999996</v>
      </c>
      <c r="F45" s="7">
        <f t="shared" si="0"/>
        <v>0.12451734464636134</v>
      </c>
      <c r="G45" s="7">
        <f t="shared" si="1"/>
        <v>0</v>
      </c>
    </row>
    <row r="46" spans="5:7" x14ac:dyDescent="0.35">
      <c r="E46" s="10">
        <v>-1.2999999999999501</v>
      </c>
      <c r="F46" s="7">
        <f t="shared" si="0"/>
        <v>0.15847673572899165</v>
      </c>
      <c r="G46" s="7">
        <f t="shared" si="1"/>
        <v>0</v>
      </c>
    </row>
    <row r="47" spans="5:7" x14ac:dyDescent="0.35">
      <c r="E47" s="10">
        <v>-1.0999999999999499</v>
      </c>
      <c r="F47" s="7">
        <f t="shared" si="0"/>
        <v>0.19813859080335683</v>
      </c>
      <c r="G47" s="7">
        <f t="shared" si="1"/>
        <v>0</v>
      </c>
    </row>
    <row r="48" spans="5:7" x14ac:dyDescent="0.35">
      <c r="E48" s="10">
        <v>-0.89999999999995095</v>
      </c>
      <c r="F48" s="7">
        <f t="shared" si="0"/>
        <v>0.24194434361360093</v>
      </c>
      <c r="G48" s="7">
        <f t="shared" si="1"/>
        <v>0</v>
      </c>
    </row>
    <row r="49" spans="5:7" x14ac:dyDescent="0.35">
      <c r="E49" s="10">
        <v>-0.69999999999995</v>
      </c>
      <c r="F49" s="7">
        <f t="shared" si="0"/>
        <v>0.2867654575767089</v>
      </c>
      <c r="G49" s="7">
        <f t="shared" si="1"/>
        <v>0</v>
      </c>
    </row>
    <row r="50" spans="5:7" x14ac:dyDescent="0.35">
      <c r="E50" s="10">
        <v>-0.49999999999994998</v>
      </c>
      <c r="F50" s="7">
        <f t="shared" si="0"/>
        <v>0.32791853132275595</v>
      </c>
      <c r="G50" s="7">
        <f t="shared" si="1"/>
        <v>0</v>
      </c>
    </row>
    <row r="51" spans="5:7" x14ac:dyDescent="0.35">
      <c r="E51" s="10">
        <v>-0.29999999999995097</v>
      </c>
      <c r="F51" s="7">
        <f t="shared" si="0"/>
        <v>0.35982432834901612</v>
      </c>
      <c r="G51" s="7">
        <f t="shared" si="1"/>
        <v>0</v>
      </c>
    </row>
    <row r="52" spans="5:7" x14ac:dyDescent="0.35">
      <c r="E52" s="10">
        <v>-9.9999999999949907E-2</v>
      </c>
      <c r="F52" s="7">
        <f t="shared" si="0"/>
        <v>0.37733812996643357</v>
      </c>
      <c r="G52" s="7">
        <f t="shared" si="1"/>
        <v>0</v>
      </c>
    </row>
    <row r="53" spans="5:7" x14ac:dyDescent="0.35">
      <c r="E53" s="10">
        <v>0.100000000000099</v>
      </c>
      <c r="F53" s="7">
        <f t="shared" si="0"/>
        <v>0.37733812996642679</v>
      </c>
      <c r="G53" s="7">
        <f t="shared" si="1"/>
        <v>0.15096104663195412</v>
      </c>
    </row>
    <row r="54" spans="5:7" x14ac:dyDescent="0.35">
      <c r="E54" s="10">
        <v>0.30000000000010002</v>
      </c>
      <c r="F54" s="7">
        <f t="shared" si="0"/>
        <v>0.35982432834899708</v>
      </c>
      <c r="G54" s="7">
        <f t="shared" si="1"/>
        <v>0.14395432875028433</v>
      </c>
    </row>
    <row r="55" spans="5:7" x14ac:dyDescent="0.35">
      <c r="E55" s="10">
        <v>0.50000000000009903</v>
      </c>
      <c r="F55" s="7">
        <f t="shared" si="0"/>
        <v>0.32791853132272802</v>
      </c>
      <c r="G55" s="7">
        <f t="shared" si="1"/>
        <v>0.13118982887548819</v>
      </c>
    </row>
    <row r="56" spans="5:7" x14ac:dyDescent="0.35">
      <c r="E56" s="10">
        <v>0.70000000000009899</v>
      </c>
      <c r="F56" s="7">
        <f t="shared" si="0"/>
        <v>0.28676545757667626</v>
      </c>
      <c r="G56" s="7">
        <f t="shared" si="1"/>
        <v>0.11472578617357858</v>
      </c>
    </row>
    <row r="57" spans="5:7" x14ac:dyDescent="0.35">
      <c r="E57" s="10">
        <v>0.90000000000010005</v>
      </c>
      <c r="F57" s="7">
        <f t="shared" si="0"/>
        <v>0.24194434361356737</v>
      </c>
      <c r="G57" s="7">
        <f t="shared" si="1"/>
        <v>9.679427663945589E-2</v>
      </c>
    </row>
    <row r="58" spans="5:7" x14ac:dyDescent="0.35">
      <c r="E58" s="10">
        <v>1.1000000000001</v>
      </c>
      <c r="F58" s="7">
        <f t="shared" si="0"/>
        <v>0.19813859080332522</v>
      </c>
      <c r="G58" s="7">
        <f t="shared" si="1"/>
        <v>7.9268980976059236E-2</v>
      </c>
    </row>
    <row r="59" spans="5:7" x14ac:dyDescent="0.35">
      <c r="E59" s="10">
        <v>1.3000000000001</v>
      </c>
      <c r="F59" s="7">
        <f t="shared" si="0"/>
        <v>0.15847673572896401</v>
      </c>
      <c r="G59" s="7">
        <f t="shared" si="1"/>
        <v>6.3401527681786612E-2</v>
      </c>
    </row>
    <row r="60" spans="5:7" x14ac:dyDescent="0.35">
      <c r="E60" s="10">
        <v>1.5000000000000999</v>
      </c>
      <c r="F60" s="7">
        <f t="shared" si="0"/>
        <v>0.12451734464633972</v>
      </c>
      <c r="G60" s="7">
        <f t="shared" si="1"/>
        <v>4.9815449801788272E-2</v>
      </c>
    </row>
    <row r="61" spans="5:7" x14ac:dyDescent="0.35">
      <c r="E61" s="10">
        <v>1.7000000000001001</v>
      </c>
      <c r="F61" s="7">
        <f t="shared" si="0"/>
        <v>9.6607948713899328E-2</v>
      </c>
      <c r="G61" s="7">
        <f t="shared" si="1"/>
        <v>3.8649783556498743E-2</v>
      </c>
    </row>
    <row r="62" spans="5:7" x14ac:dyDescent="0.35">
      <c r="E62" s="10">
        <v>1.9000000000001001</v>
      </c>
      <c r="F62" s="7">
        <f t="shared" si="0"/>
        <v>7.434203003318636E-2</v>
      </c>
      <c r="G62" s="7">
        <f t="shared" si="1"/>
        <v>2.9741893997175715E-2</v>
      </c>
    </row>
    <row r="63" spans="5:7" x14ac:dyDescent="0.35">
      <c r="E63" s="10">
        <v>2.1000000000001</v>
      </c>
      <c r="F63" s="7">
        <f t="shared" si="0"/>
        <v>5.6947544172162932E-2</v>
      </c>
      <c r="G63" s="7">
        <f t="shared" si="1"/>
        <v>2.2782910574433733E-2</v>
      </c>
    </row>
    <row r="64" spans="5:7" x14ac:dyDescent="0.35">
      <c r="E64" s="10">
        <v>2.3000000000001002</v>
      </c>
      <c r="F64" s="7">
        <f t="shared" si="0"/>
        <v>4.3550961350434153E-2</v>
      </c>
      <c r="G64" s="7">
        <f t="shared" si="1"/>
        <v>1.7423361662056998E-2</v>
      </c>
    </row>
    <row r="65" spans="5:7" x14ac:dyDescent="0.35">
      <c r="E65" s="10">
        <v>2.5000000000000999</v>
      </c>
      <c r="F65" s="7">
        <f t="shared" si="0"/>
        <v>3.3326238887018383E-2</v>
      </c>
      <c r="G65" s="7">
        <f t="shared" si="1"/>
        <v>1.3332773719789326E-2</v>
      </c>
    </row>
    <row r="66" spans="5:7" x14ac:dyDescent="0.35">
      <c r="E66" s="10">
        <v>2.7000000000001001</v>
      </c>
      <c r="F66" s="7">
        <f t="shared" si="0"/>
        <v>2.5561611020541192E-2</v>
      </c>
      <c r="G66" s="7">
        <f t="shared" si="1"/>
        <v>1.0226391787130348E-2</v>
      </c>
    </row>
    <row r="67" spans="5:7" x14ac:dyDescent="0.35">
      <c r="E67" s="10">
        <v>2.9000000000000998</v>
      </c>
      <c r="F67" s="7">
        <f t="shared" si="0"/>
        <v>1.967693889059597E-2</v>
      </c>
      <c r="G67" s="7">
        <f t="shared" si="1"/>
        <v>7.8721206619157789E-3</v>
      </c>
    </row>
    <row r="68" spans="5:7" x14ac:dyDescent="0.35">
      <c r="E68" s="10">
        <v>3.1000000000001</v>
      </c>
      <c r="F68" s="7">
        <f t="shared" ref="F68:F102" si="2">_xlfn.T.DIST(E68,C$3,FALSE)</f>
        <v>1.5215745044950888E-2</v>
      </c>
      <c r="G68" s="7">
        <f t="shared" ref="G68:G102" si="3">IF(E68&lt;0,0,F68/SUMIF(E:E,"&gt;=0",F:F))</f>
        <v>6.0873381586831077E-3</v>
      </c>
    </row>
    <row r="69" spans="5:7" x14ac:dyDescent="0.35">
      <c r="E69" s="10">
        <v>3.3000000000001002</v>
      </c>
      <c r="F69" s="7">
        <f t="shared" si="2"/>
        <v>1.1826934151169694E-2</v>
      </c>
      <c r="G69" s="7">
        <f t="shared" si="3"/>
        <v>4.731582143756935E-3</v>
      </c>
    </row>
    <row r="70" spans="5:7" x14ac:dyDescent="0.35">
      <c r="E70" s="10">
        <v>3.5000000000000999</v>
      </c>
      <c r="F70" s="7">
        <f t="shared" si="2"/>
        <v>9.2443540925197954E-3</v>
      </c>
      <c r="G70" s="7">
        <f t="shared" si="3"/>
        <v>3.6983735764189612E-3</v>
      </c>
    </row>
    <row r="71" spans="5:7" x14ac:dyDescent="0.35">
      <c r="E71" s="10">
        <v>3.7000000000001001</v>
      </c>
      <c r="F71" s="7">
        <f t="shared" si="2"/>
        <v>7.2680175325685317E-3</v>
      </c>
      <c r="G71" s="7">
        <f t="shared" si="3"/>
        <v>2.9077038510620678E-3</v>
      </c>
    </row>
    <row r="72" spans="5:7" x14ac:dyDescent="0.35">
      <c r="E72" s="10">
        <v>3.9000000000000998</v>
      </c>
      <c r="F72" s="7">
        <f t="shared" si="2"/>
        <v>5.7483728547687331E-3</v>
      </c>
      <c r="G72" s="7">
        <f t="shared" si="3"/>
        <v>2.2997420977938581E-3</v>
      </c>
    </row>
    <row r="73" spans="5:7" x14ac:dyDescent="0.35">
      <c r="E73" s="10">
        <v>4.1000000000001</v>
      </c>
      <c r="F73" s="7">
        <f t="shared" si="2"/>
        <v>4.5737968776911999E-3</v>
      </c>
      <c r="G73" s="7">
        <f t="shared" si="3"/>
        <v>1.8298314135379338E-3</v>
      </c>
    </row>
    <row r="74" spans="5:7" x14ac:dyDescent="0.35">
      <c r="E74" s="10">
        <v>4.3000000000001002</v>
      </c>
      <c r="F74" s="7">
        <f t="shared" si="2"/>
        <v>3.6609586202402231E-3</v>
      </c>
      <c r="G74" s="7">
        <f t="shared" si="3"/>
        <v>1.4646337093919216E-3</v>
      </c>
    </row>
    <row r="75" spans="5:7" x14ac:dyDescent="0.35">
      <c r="E75" s="10">
        <v>4.5000000000001004</v>
      </c>
      <c r="F75" s="7">
        <f t="shared" si="2"/>
        <v>2.9475401058327902E-3</v>
      </c>
      <c r="G75" s="7">
        <f t="shared" si="3"/>
        <v>1.1792175346969809E-3</v>
      </c>
    </row>
    <row r="76" spans="5:7" x14ac:dyDescent="0.35">
      <c r="E76" s="10">
        <v>4.7000000000000997</v>
      </c>
      <c r="F76" s="7">
        <f t="shared" si="2"/>
        <v>2.3868045403490591E-3</v>
      </c>
      <c r="G76" s="7">
        <f t="shared" si="3"/>
        <v>9.5488497690136072E-4</v>
      </c>
    </row>
    <row r="77" spans="5:7" x14ac:dyDescent="0.35">
      <c r="E77" s="10">
        <v>4.9000000000000998</v>
      </c>
      <c r="F77" s="7">
        <f t="shared" si="2"/>
        <v>1.9435722247551975E-3</v>
      </c>
      <c r="G77" s="7">
        <f t="shared" si="3"/>
        <v>7.7756175152493979E-4</v>
      </c>
    </row>
    <row r="78" spans="5:7" x14ac:dyDescent="0.35">
      <c r="E78" s="10">
        <v>5.1000000000001</v>
      </c>
      <c r="F78" s="7">
        <f t="shared" si="2"/>
        <v>1.5912505680812266E-3</v>
      </c>
      <c r="G78" s="7">
        <f t="shared" si="3"/>
        <v>6.3660900432354012E-4</v>
      </c>
    </row>
    <row r="79" spans="5:7" x14ac:dyDescent="0.35">
      <c r="E79" s="10">
        <v>5.3000000000001002</v>
      </c>
      <c r="F79" s="7">
        <f t="shared" si="2"/>
        <v>1.3096449388493687E-3</v>
      </c>
      <c r="G79" s="7">
        <f t="shared" si="3"/>
        <v>5.2394750221116759E-4</v>
      </c>
    </row>
    <row r="80" spans="5:7" x14ac:dyDescent="0.35">
      <c r="E80" s="10">
        <v>5.5000000000001004</v>
      </c>
      <c r="F80" s="7">
        <f t="shared" si="2"/>
        <v>1.0833443094852922E-3</v>
      </c>
      <c r="G80" s="7">
        <f t="shared" si="3"/>
        <v>4.3341178066797105E-4</v>
      </c>
    </row>
    <row r="81" spans="5:7" x14ac:dyDescent="0.35">
      <c r="E81" s="10">
        <v>5.7000000000000997</v>
      </c>
      <c r="F81" s="7">
        <f t="shared" si="2"/>
        <v>9.0052868079846409E-4</v>
      </c>
      <c r="G81" s="7">
        <f t="shared" si="3"/>
        <v>3.6027303200851865E-4</v>
      </c>
    </row>
    <row r="82" spans="5:7" x14ac:dyDescent="0.35">
      <c r="E82" s="10">
        <v>5.9000000000000998</v>
      </c>
      <c r="F82" s="7">
        <f t="shared" si="2"/>
        <v>7.5208571124559908E-4</v>
      </c>
      <c r="G82" s="7">
        <f t="shared" si="3"/>
        <v>3.0088569670039695E-4</v>
      </c>
    </row>
    <row r="83" spans="5:7" x14ac:dyDescent="0.35">
      <c r="E83" s="10">
        <v>6.1000000000001</v>
      </c>
      <c r="F83" s="7">
        <f t="shared" si="2"/>
        <v>6.3095416852982495E-4</v>
      </c>
      <c r="G83" s="7">
        <f t="shared" si="3"/>
        <v>2.5242479912255741E-4</v>
      </c>
    </row>
    <row r="84" spans="5:7" x14ac:dyDescent="0.35">
      <c r="E84" s="10">
        <v>6.3000000000001002</v>
      </c>
      <c r="F84" s="7">
        <f t="shared" si="2"/>
        <v>5.3163407162107714E-4</v>
      </c>
      <c r="G84" s="7">
        <f t="shared" si="3"/>
        <v>2.1268997088702842E-4</v>
      </c>
    </row>
    <row r="85" spans="5:7" x14ac:dyDescent="0.35">
      <c r="E85" s="10">
        <v>6.5000000000001004</v>
      </c>
      <c r="F85" s="7">
        <f t="shared" si="2"/>
        <v>4.4981965887890148E-4</v>
      </c>
      <c r="G85" s="7">
        <f t="shared" si="3"/>
        <v>1.7995861299792133E-4</v>
      </c>
    </row>
    <row r="86" spans="5:7" x14ac:dyDescent="0.35">
      <c r="E86" s="10">
        <v>6.7000000000000997</v>
      </c>
      <c r="F86" s="7">
        <f t="shared" si="2"/>
        <v>3.8212315830788503E-4</v>
      </c>
      <c r="G86" s="7">
        <f t="shared" si="3"/>
        <v>1.5287538507067583E-4</v>
      </c>
    </row>
    <row r="87" spans="5:7" x14ac:dyDescent="0.35">
      <c r="E87" s="10">
        <v>6.9000000000000998</v>
      </c>
      <c r="F87" s="7">
        <f t="shared" si="2"/>
        <v>3.2586593647666921E-4</v>
      </c>
      <c r="G87" s="7">
        <f t="shared" si="3"/>
        <v>1.3036865062271007E-4</v>
      </c>
    </row>
    <row r="88" spans="5:7" x14ac:dyDescent="0.35">
      <c r="E88" s="10">
        <v>7.1000000000001</v>
      </c>
      <c r="F88" s="7">
        <f t="shared" si="2"/>
        <v>2.7891984805033582E-4</v>
      </c>
      <c r="G88" s="7">
        <f t="shared" si="3"/>
        <v>1.1158700604110864E-4</v>
      </c>
    </row>
    <row r="89" spans="5:7" x14ac:dyDescent="0.35">
      <c r="E89" s="10">
        <v>7.3000000000001002</v>
      </c>
      <c r="F89" s="7">
        <f t="shared" si="2"/>
        <v>2.3958614763847544E-4</v>
      </c>
      <c r="G89" s="7">
        <f t="shared" si="3"/>
        <v>9.5850837044324558E-5</v>
      </c>
    </row>
    <row r="90" spans="5:7" x14ac:dyDescent="0.35">
      <c r="E90" s="10">
        <v>7.5000000000001004</v>
      </c>
      <c r="F90" s="7">
        <f t="shared" si="2"/>
        <v>2.0650263196999422E-4</v>
      </c>
      <c r="G90" s="7">
        <f t="shared" si="3"/>
        <v>8.2615169204387624E-5</v>
      </c>
    </row>
    <row r="91" spans="5:7" x14ac:dyDescent="0.35">
      <c r="E91" s="10">
        <v>7.7000000000000997</v>
      </c>
      <c r="F91" s="7">
        <f t="shared" si="2"/>
        <v>1.7857209473516402E-4</v>
      </c>
      <c r="G91" s="7">
        <f t="shared" si="3"/>
        <v>7.1441044992933339E-5</v>
      </c>
    </row>
    <row r="92" spans="5:7" x14ac:dyDescent="0.35">
      <c r="E92" s="10">
        <v>7.9000000000000998</v>
      </c>
      <c r="F92" s="7">
        <f t="shared" si="2"/>
        <v>1.5490694497216761E-4</v>
      </c>
      <c r="G92" s="7">
        <f t="shared" si="3"/>
        <v>6.1973367349961659E-5</v>
      </c>
    </row>
    <row r="93" spans="5:7" x14ac:dyDescent="0.35">
      <c r="E93" s="10">
        <v>8.1000000000000991</v>
      </c>
      <c r="F93" s="7">
        <f t="shared" si="2"/>
        <v>1.3478613992265199E-4</v>
      </c>
      <c r="G93" s="7">
        <f t="shared" si="3"/>
        <v>5.3923669882009935E-5</v>
      </c>
    </row>
    <row r="94" spans="5:7" x14ac:dyDescent="0.35">
      <c r="E94" s="10">
        <v>8.3000000000001002</v>
      </c>
      <c r="F94" s="7">
        <f t="shared" si="2"/>
        <v>1.1762154257033955E-4</v>
      </c>
      <c r="G94" s="7">
        <f t="shared" si="3"/>
        <v>4.7056657577815541E-5</v>
      </c>
    </row>
    <row r="95" spans="5:7" x14ac:dyDescent="0.35">
      <c r="E95" s="10">
        <v>8.5000000000000995</v>
      </c>
      <c r="F95" s="7">
        <f t="shared" si="2"/>
        <v>1.0293152474835408E-4</v>
      </c>
      <c r="G95" s="7">
        <f t="shared" si="3"/>
        <v>4.1179646246767993E-5</v>
      </c>
    </row>
    <row r="96" spans="5:7" x14ac:dyDescent="0.35">
      <c r="E96" s="10">
        <v>8.7000000000001005</v>
      </c>
      <c r="F96" s="7">
        <f t="shared" si="2"/>
        <v>9.0320165357025994E-5</v>
      </c>
      <c r="G96" s="7">
        <f t="shared" si="3"/>
        <v>3.6134240384031558E-5</v>
      </c>
    </row>
    <row r="97" spans="5:7" x14ac:dyDescent="0.35">
      <c r="E97" s="10">
        <v>8.9000000000000998</v>
      </c>
      <c r="F97" s="7">
        <f t="shared" si="2"/>
        <v>7.9460788143781482E-5</v>
      </c>
      <c r="G97" s="7">
        <f t="shared" si="3"/>
        <v>3.178974715715188E-5</v>
      </c>
    </row>
    <row r="98" spans="5:7" x14ac:dyDescent="0.35">
      <c r="E98" s="10">
        <v>9.1000000000000991</v>
      </c>
      <c r="F98" s="7">
        <f t="shared" si="2"/>
        <v>7.0082879749239519E-5</v>
      </c>
      <c r="G98" s="7">
        <f t="shared" si="3"/>
        <v>2.8037942730218924E-5</v>
      </c>
    </row>
    <row r="99" spans="5:7" x14ac:dyDescent="0.35">
      <c r="E99" s="10">
        <v>9.3000000000001002</v>
      </c>
      <c r="F99" s="7">
        <f t="shared" si="2"/>
        <v>6.1961651912101882E-5</v>
      </c>
      <c r="G99" s="7">
        <f t="shared" si="3"/>
        <v>2.4788896432300556E-5</v>
      </c>
    </row>
    <row r="100" spans="5:7" x14ac:dyDescent="0.35">
      <c r="E100" s="10">
        <v>9.5000000000000995</v>
      </c>
      <c r="F100" s="7">
        <f t="shared" si="2"/>
        <v>5.4909680583999848E-5</v>
      </c>
      <c r="G100" s="7">
        <f t="shared" si="3"/>
        <v>2.1967625831835311E-5</v>
      </c>
    </row>
    <row r="101" spans="5:7" x14ac:dyDescent="0.35">
      <c r="E101" s="10">
        <v>9.7000000000001005</v>
      </c>
      <c r="F101" s="7">
        <f t="shared" si="2"/>
        <v>4.8770182998912507E-5</v>
      </c>
      <c r="G101" s="7">
        <f t="shared" si="3"/>
        <v>1.9511407104823536E-5</v>
      </c>
    </row>
    <row r="102" spans="5:7" x14ac:dyDescent="0.35">
      <c r="E102" s="10">
        <v>9.9000000000000998</v>
      </c>
      <c r="F102" s="7">
        <f t="shared" si="2"/>
        <v>4.3411591622685021E-5</v>
      </c>
      <c r="G102" s="7">
        <f t="shared" si="3"/>
        <v>1.736760424371263E-5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expected value</vt:lpstr>
      <vt:lpstr>Bern(p)</vt:lpstr>
      <vt:lpstr>Bin(n,p)</vt:lpstr>
      <vt:lpstr>Pois(lambda)</vt:lpstr>
      <vt:lpstr>Expo(lambda)</vt:lpstr>
      <vt:lpstr>Normal(mu, sigma)</vt:lpstr>
      <vt:lpstr>t(df)</vt:lpstr>
      <vt:lpstr>ChiSquare(df)</vt:lpstr>
      <vt:lpstr>F(df1, df2)</vt:lpstr>
      <vt:lpstr>Trunc Normal (mu, sigma)</vt:lpstr>
      <vt:lpstr>Trunc t(df)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White, Patrick</dc:creator>
  <cp:lastModifiedBy>White, Patrick</cp:lastModifiedBy>
  <dcterms:created xsi:type="dcterms:W3CDTF">2024-06-04T22:57:37Z</dcterms:created>
  <dcterms:modified xsi:type="dcterms:W3CDTF">2024-06-06T21:40:04Z</dcterms:modified>
</cp:coreProperties>
</file>
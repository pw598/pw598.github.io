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white\Desktop\Excel\"/>
    </mc:Choice>
  </mc:AlternateContent>
  <xr:revisionPtr revIDLastSave="0" documentId="13_ncr:1_{4009FE33-90FF-402D-A9F1-248CBE2129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near" sheetId="4" r:id="rId1"/>
    <sheet name="power" sheetId="6" r:id="rId2"/>
    <sheet name="poly_2nd" sheetId="7" r:id="rId3"/>
    <sheet name="poly_3rd" sheetId="9" r:id="rId4"/>
    <sheet name="exp" sheetId="10" r:id="rId5"/>
    <sheet name="log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4" l="1"/>
  <c r="L30" i="3" a="1"/>
  <c r="L30" i="3" s="1"/>
  <c r="L33" i="7"/>
  <c r="L31" i="7" a="1"/>
  <c r="L31" i="7" s="1"/>
  <c r="L30" i="7" a="1"/>
  <c r="L30" i="7" s="1"/>
  <c r="L29" i="7" a="1"/>
  <c r="L29" i="7" s="1"/>
  <c r="AD3" i="10"/>
  <c r="AD3" i="6"/>
  <c r="AD3" i="4"/>
  <c r="L29" i="3" a="1"/>
  <c r="L29" i="3" s="1"/>
  <c r="M7" i="10"/>
  <c r="M15" i="10"/>
  <c r="M23" i="10"/>
  <c r="L30" i="10" a="1"/>
  <c r="L30" i="10" s="1"/>
  <c r="L29" i="10" a="1"/>
  <c r="L29" i="10" s="1"/>
  <c r="M8" i="10" s="1"/>
  <c r="L32" i="9" a="1"/>
  <c r="L32" i="9" s="1"/>
  <c r="L31" i="9" a="1"/>
  <c r="L31" i="9" s="1"/>
  <c r="L30" i="9" a="1"/>
  <c r="L30" i="9" s="1"/>
  <c r="L29" i="9" a="1"/>
  <c r="L29" i="9" s="1"/>
  <c r="L30" i="6" a="1"/>
  <c r="L30" i="6" s="1"/>
  <c r="L29" i="6" a="1"/>
  <c r="L29" i="6" s="1"/>
  <c r="M11" i="6" s="1"/>
  <c r="N11" i="6" s="1"/>
  <c r="L29" i="4"/>
  <c r="N9" i="4" s="1"/>
  <c r="L30" i="4"/>
  <c r="M12" i="9" l="1"/>
  <c r="M12" i="3"/>
  <c r="N12" i="3" s="1"/>
  <c r="M12" i="7"/>
  <c r="M20" i="7"/>
  <c r="N20" i="7" s="1"/>
  <c r="M4" i="7"/>
  <c r="M5" i="7"/>
  <c r="N5" i="7" s="1"/>
  <c r="M13" i="7"/>
  <c r="M21" i="7"/>
  <c r="N21" i="7" s="1"/>
  <c r="M6" i="7"/>
  <c r="N6" i="7" s="1"/>
  <c r="M14" i="7"/>
  <c r="M22" i="7"/>
  <c r="N22" i="7" s="1"/>
  <c r="M27" i="7"/>
  <c r="M7" i="7"/>
  <c r="M15" i="7"/>
  <c r="M23" i="7"/>
  <c r="M8" i="7"/>
  <c r="N8" i="7" s="1"/>
  <c r="M16" i="7"/>
  <c r="N16" i="7" s="1"/>
  <c r="M24" i="7"/>
  <c r="N24" i="7" s="1"/>
  <c r="M9" i="7"/>
  <c r="N9" i="7" s="1"/>
  <c r="M17" i="7"/>
  <c r="M25" i="7"/>
  <c r="M19" i="7"/>
  <c r="M10" i="7"/>
  <c r="M18" i="7"/>
  <c r="N18" i="7" s="1"/>
  <c r="M26" i="7"/>
  <c r="N26" i="7" s="1"/>
  <c r="M11" i="7"/>
  <c r="N11" i="7" s="1"/>
  <c r="N12" i="7"/>
  <c r="M23" i="3"/>
  <c r="M27" i="3"/>
  <c r="N27" i="3" s="1"/>
  <c r="M19" i="3"/>
  <c r="M11" i="3"/>
  <c r="N11" i="3" s="1"/>
  <c r="M26" i="3"/>
  <c r="N26" i="3" s="1"/>
  <c r="M10" i="3"/>
  <c r="M25" i="3"/>
  <c r="N25" i="3" s="1"/>
  <c r="M17" i="3"/>
  <c r="N17" i="3" s="1"/>
  <c r="M9" i="3"/>
  <c r="M18" i="3"/>
  <c r="N18" i="3" s="1"/>
  <c r="M24" i="3"/>
  <c r="N24" i="3" s="1"/>
  <c r="M16" i="3"/>
  <c r="N16" i="3" s="1"/>
  <c r="M8" i="3"/>
  <c r="N8" i="3" s="1"/>
  <c r="M7" i="3"/>
  <c r="N7" i="3" s="1"/>
  <c r="M22" i="3"/>
  <c r="N22" i="3" s="1"/>
  <c r="M14" i="3"/>
  <c r="N14" i="3" s="1"/>
  <c r="M6" i="3"/>
  <c r="M21" i="3"/>
  <c r="N21" i="3" s="1"/>
  <c r="M13" i="3"/>
  <c r="N13" i="3" s="1"/>
  <c r="M5" i="3"/>
  <c r="M15" i="3"/>
  <c r="N15" i="3" s="1"/>
  <c r="M4" i="3"/>
  <c r="M20" i="3"/>
  <c r="N20" i="3" s="1"/>
  <c r="M22" i="10"/>
  <c r="M14" i="10"/>
  <c r="M6" i="10"/>
  <c r="M21" i="10"/>
  <c r="N21" i="10" s="1"/>
  <c r="M13" i="10"/>
  <c r="N13" i="10" s="1"/>
  <c r="M5" i="10"/>
  <c r="M27" i="10"/>
  <c r="N27" i="10" s="1"/>
  <c r="M19" i="10"/>
  <c r="M11" i="10"/>
  <c r="M26" i="10"/>
  <c r="M18" i="10"/>
  <c r="M10" i="10"/>
  <c r="M25" i="10"/>
  <c r="N25" i="10" s="1"/>
  <c r="M17" i="10"/>
  <c r="N17" i="10" s="1"/>
  <c r="M9" i="10"/>
  <c r="M4" i="10"/>
  <c r="M20" i="10"/>
  <c r="M12" i="10"/>
  <c r="M24" i="10"/>
  <c r="M16" i="10"/>
  <c r="M27" i="9"/>
  <c r="N27" i="9" s="1"/>
  <c r="M19" i="9"/>
  <c r="N19" i="9" s="1"/>
  <c r="M11" i="9"/>
  <c r="M26" i="9"/>
  <c r="M18" i="9"/>
  <c r="N18" i="9" s="1"/>
  <c r="M10" i="9"/>
  <c r="N10" i="9" s="1"/>
  <c r="M25" i="9"/>
  <c r="N25" i="9" s="1"/>
  <c r="M17" i="9"/>
  <c r="M9" i="9"/>
  <c r="N9" i="9" s="1"/>
  <c r="M24" i="9"/>
  <c r="N24" i="9" s="1"/>
  <c r="M16" i="9"/>
  <c r="M8" i="9"/>
  <c r="N8" i="9" s="1"/>
  <c r="M23" i="9"/>
  <c r="N23" i="9" s="1"/>
  <c r="M15" i="9"/>
  <c r="M7" i="9"/>
  <c r="N7" i="9" s="1"/>
  <c r="M22" i="9"/>
  <c r="M14" i="9"/>
  <c r="N14" i="9" s="1"/>
  <c r="M6" i="9"/>
  <c r="N6" i="9" s="1"/>
  <c r="M21" i="9"/>
  <c r="N21" i="9" s="1"/>
  <c r="M13" i="9"/>
  <c r="M5" i="9"/>
  <c r="N5" i="9" s="1"/>
  <c r="M4" i="9"/>
  <c r="M20" i="9"/>
  <c r="N20" i="9" s="1"/>
  <c r="N13" i="7"/>
  <c r="N27" i="7"/>
  <c r="N19" i="7"/>
  <c r="N10" i="7"/>
  <c r="N25" i="7"/>
  <c r="N17" i="7"/>
  <c r="N23" i="7"/>
  <c r="N15" i="7"/>
  <c r="N7" i="7"/>
  <c r="N14" i="7"/>
  <c r="M26" i="6"/>
  <c r="N26" i="6" s="1"/>
  <c r="M18" i="6"/>
  <c r="N18" i="6" s="1"/>
  <c r="M10" i="6"/>
  <c r="N10" i="6" s="1"/>
  <c r="M12" i="4"/>
  <c r="N12" i="4" s="1"/>
  <c r="N23" i="3"/>
  <c r="N4" i="3"/>
  <c r="N9" i="3"/>
  <c r="N19" i="3"/>
  <c r="N10" i="3"/>
  <c r="N26" i="10"/>
  <c r="N22" i="10"/>
  <c r="N18" i="10"/>
  <c r="N14" i="10"/>
  <c r="N10" i="10"/>
  <c r="N9" i="10"/>
  <c r="N24" i="10"/>
  <c r="N20" i="10"/>
  <c r="N16" i="10"/>
  <c r="N12" i="10"/>
  <c r="N8" i="10"/>
  <c r="N23" i="10"/>
  <c r="N19" i="10"/>
  <c r="N15" i="10"/>
  <c r="N11" i="10"/>
  <c r="N7" i="10"/>
  <c r="N16" i="9"/>
  <c r="N15" i="9"/>
  <c r="N11" i="9"/>
  <c r="N26" i="9"/>
  <c r="N22" i="9"/>
  <c r="N17" i="9"/>
  <c r="N13" i="9"/>
  <c r="N12" i="9"/>
  <c r="M25" i="6"/>
  <c r="N25" i="6" s="1"/>
  <c r="M17" i="6"/>
  <c r="N17" i="6" s="1"/>
  <c r="M9" i="6"/>
  <c r="N9" i="6" s="1"/>
  <c r="M24" i="6"/>
  <c r="N24" i="6" s="1"/>
  <c r="M16" i="6"/>
  <c r="N16" i="6" s="1"/>
  <c r="M8" i="6"/>
  <c r="N8" i="6" s="1"/>
  <c r="M23" i="6"/>
  <c r="N23" i="6" s="1"/>
  <c r="M15" i="6"/>
  <c r="N15" i="6" s="1"/>
  <c r="M7" i="6"/>
  <c r="N7" i="6" s="1"/>
  <c r="M22" i="6"/>
  <c r="N22" i="6" s="1"/>
  <c r="M14" i="6"/>
  <c r="N14" i="6" s="1"/>
  <c r="M6" i="6"/>
  <c r="N6" i="6" s="1"/>
  <c r="M21" i="6"/>
  <c r="N21" i="6" s="1"/>
  <c r="M13" i="6"/>
  <c r="N13" i="6" s="1"/>
  <c r="M5" i="6"/>
  <c r="N5" i="6" s="1"/>
  <c r="M4" i="6"/>
  <c r="M20" i="6"/>
  <c r="N20" i="6" s="1"/>
  <c r="M12" i="6"/>
  <c r="N12" i="6" s="1"/>
  <c r="M27" i="6"/>
  <c r="N27" i="6" s="1"/>
  <c r="M19" i="6"/>
  <c r="N19" i="6" s="1"/>
  <c r="M5" i="4"/>
  <c r="N5" i="4" s="1"/>
  <c r="M4" i="4"/>
  <c r="M25" i="4"/>
  <c r="N25" i="4" s="1"/>
  <c r="M20" i="4"/>
  <c r="N20" i="4" s="1"/>
  <c r="M17" i="4"/>
  <c r="N17" i="4" s="1"/>
  <c r="M27" i="4"/>
  <c r="N27" i="4" s="1"/>
  <c r="M19" i="4"/>
  <c r="N19" i="4" s="1"/>
  <c r="M11" i="4"/>
  <c r="N11" i="4" s="1"/>
  <c r="M26" i="4"/>
  <c r="N26" i="4" s="1"/>
  <c r="M18" i="4"/>
  <c r="N18" i="4" s="1"/>
  <c r="M10" i="4"/>
  <c r="N10" i="4" s="1"/>
  <c r="M24" i="4"/>
  <c r="N24" i="4" s="1"/>
  <c r="M16" i="4"/>
  <c r="N16" i="4" s="1"/>
  <c r="M8" i="4"/>
  <c r="N8" i="4" s="1"/>
  <c r="M23" i="4"/>
  <c r="N23" i="4" s="1"/>
  <c r="M15" i="4"/>
  <c r="N15" i="4" s="1"/>
  <c r="M7" i="4"/>
  <c r="N7" i="4" s="1"/>
  <c r="M22" i="4"/>
  <c r="N22" i="4" s="1"/>
  <c r="M14" i="4"/>
  <c r="N14" i="4" s="1"/>
  <c r="M6" i="4"/>
  <c r="N6" i="4" s="1"/>
  <c r="M21" i="4"/>
  <c r="N21" i="4" s="1"/>
  <c r="M13" i="4"/>
  <c r="N13" i="4" s="1"/>
  <c r="L32" i="3" l="1"/>
  <c r="L34" i="9"/>
  <c r="N4" i="7"/>
  <c r="L32" i="7" s="1"/>
  <c r="N4" i="10"/>
  <c r="N4" i="9"/>
  <c r="L33" i="9" s="1"/>
  <c r="L32" i="6"/>
  <c r="N4" i="6"/>
  <c r="L31" i="6" s="1"/>
  <c r="N4" i="4"/>
  <c r="L31" i="4" s="1"/>
  <c r="L32" i="4"/>
  <c r="AD3" i="9" l="1"/>
  <c r="AD3" i="7"/>
  <c r="N6" i="10" l="1"/>
  <c r="N5" i="10"/>
  <c r="L31" i="10" s="1"/>
  <c r="L32" i="10"/>
  <c r="N6" i="3"/>
  <c r="N5" i="3"/>
  <c r="L3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<sst xmlns="http://schemas.openxmlformats.org/spreadsheetml/2006/main" count="212" uniqueCount="46">
  <si>
    <t>LINEAR</t>
  </si>
  <si>
    <t>EXPONENTIAL</t>
  </si>
  <si>
    <t>POWER</t>
  </si>
  <si>
    <t>2ND ORDER POLY</t>
  </si>
  <si>
    <t>3RD ORDER POLY</t>
  </si>
  <si>
    <t xml:space="preserve">  Repeat pattern for 4th order, 5th order, etc.</t>
  </si>
  <si>
    <t>rsq</t>
  </si>
  <si>
    <t>seq</t>
  </si>
  <si>
    <t>prediction</t>
  </si>
  <si>
    <t>error</t>
  </si>
  <si>
    <t>int</t>
  </si>
  <si>
    <t>slope</t>
  </si>
  <si>
    <t>c</t>
  </si>
  <si>
    <t>b</t>
  </si>
  <si>
    <t>c2</t>
  </si>
  <si>
    <t>c1</t>
  </si>
  <si>
    <t>std err</t>
  </si>
  <si>
    <t>std error</t>
  </si>
  <si>
    <t>c3</t>
  </si>
  <si>
    <t>LOGARITHMIC</t>
  </si>
  <si>
    <t>week</t>
  </si>
  <si>
    <t>sales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</si>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</sst>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3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8" xfId="0" applyFill="1" applyBorder="1"/>
    <xf numFmtId="164" fontId="3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linear!$AD$3</c:f>
          <c:strCache>
            <c:ptCount val="1"/>
            <c:pt idx="0">
              <c:v>LINEAR, std err = 441737, rsq = 0.19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39539941714462"/>
          <c:y val="0.13640401907780461"/>
          <c:w val="0.85418998528269319"/>
          <c:h val="0.67098120767730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linear!$K$4:$K$27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linear!$L$4:$L$27</c:f>
              <c:numCache>
                <c:formatCode>_(* #,##0_);_(* \(#,##0\);_(* "-"??_);_(@_)</c:formatCode>
                <c:ptCount val="24"/>
                <c:pt idx="0">
                  <c:v>87952.607231040398</c:v>
                </c:pt>
                <c:pt idx="1">
                  <c:v>727950.47150734137</c:v>
                </c:pt>
                <c:pt idx="2">
                  <c:v>379629.09222031938</c:v>
                </c:pt>
                <c:pt idx="3">
                  <c:v>240830.13923244458</c:v>
                </c:pt>
                <c:pt idx="4">
                  <c:v>135238.02977699981</c:v>
                </c:pt>
                <c:pt idx="5">
                  <c:v>228519.57362326788</c:v>
                </c:pt>
                <c:pt idx="6">
                  <c:v>82948.955202161422</c:v>
                </c:pt>
                <c:pt idx="7">
                  <c:v>1381407.561087</c:v>
                </c:pt>
                <c:pt idx="8">
                  <c:v>234989.12240507183</c:v>
                </c:pt>
                <c:pt idx="9">
                  <c:v>65283.810096418427</c:v>
                </c:pt>
                <c:pt idx="10">
                  <c:v>130810.18523888892</c:v>
                </c:pt>
                <c:pt idx="11">
                  <c:v>1905045.7055257559</c:v>
                </c:pt>
                <c:pt idx="12">
                  <c:v>449347.66668781661</c:v>
                </c:pt>
                <c:pt idx="13">
                  <c:v>426973.78122560366</c:v>
                </c:pt>
                <c:pt idx="14">
                  <c:v>774251.14242330764</c:v>
                </c:pt>
                <c:pt idx="15">
                  <c:v>445586.95325720625</c:v>
                </c:pt>
                <c:pt idx="16">
                  <c:v>252397.66153609121</c:v>
                </c:pt>
                <c:pt idx="17">
                  <c:v>1598646.6400996149</c:v>
                </c:pt>
                <c:pt idx="18">
                  <c:v>408842.58542053361</c:v>
                </c:pt>
                <c:pt idx="19">
                  <c:v>2329023.4264592025</c:v>
                </c:pt>
                <c:pt idx="20">
                  <c:v>356866.32589210744</c:v>
                </c:pt>
                <c:pt idx="21">
                  <c:v>1225000.0118695311</c:v>
                </c:pt>
                <c:pt idx="22">
                  <c:v>550165.27004080685</c:v>
                </c:pt>
                <c:pt idx="23">
                  <c:v>1331350.1264873333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D-4E73-AE68-959FBD93FAD8}"/>
            </c:ext>
          </c:extLst>
        </c:ser>
        <c:ser>
          <c:idx val="1"/>
          <c:order val="1"/>
          <c:tx>
            <c:strRef>
              <c:f>linear!$M$3</c:f>
              <c:strCache>
                <c:ptCount val="1"/>
                <c:pt idx="0">
                  <c:v> prediction </c:v>
                </c:pt>
              </c:strCache>
            </c:strRef>
          </c:tx>
          <c:marker>
            <c:symbol val="none"/>
          </c:marker>
          <c:cat>
            <c:strRef>
              <c:f>linear!$K$4:$K$27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linear!$M$4:$M$27</c:f>
              <c:numCache>
                <c:formatCode>_(* #,##0_);_(* \(#,##0\);_(* "-"??_);_(@_)</c:formatCode>
                <c:ptCount val="24"/>
                <c:pt idx="0">
                  <c:v>210642.22122167918</c:v>
                </c:pt>
                <c:pt idx="1">
                  <c:v>249387.30649423556</c:v>
                </c:pt>
                <c:pt idx="2">
                  <c:v>288132.39176679193</c:v>
                </c:pt>
                <c:pt idx="3">
                  <c:v>326877.47703934833</c:v>
                </c:pt>
                <c:pt idx="4">
                  <c:v>365622.56231190474</c:v>
                </c:pt>
                <c:pt idx="5">
                  <c:v>404367.64758446114</c:v>
                </c:pt>
                <c:pt idx="6">
                  <c:v>443112.73285701749</c:v>
                </c:pt>
                <c:pt idx="7">
                  <c:v>481857.81812957389</c:v>
                </c:pt>
                <c:pt idx="8">
                  <c:v>520602.90340213029</c:v>
                </c:pt>
                <c:pt idx="9">
                  <c:v>559347.98867468676</c:v>
                </c:pt>
                <c:pt idx="10">
                  <c:v>598093.07394724304</c:v>
                </c:pt>
                <c:pt idx="11">
                  <c:v>636838.15921979945</c:v>
                </c:pt>
                <c:pt idx="12">
                  <c:v>675583.24449235585</c:v>
                </c:pt>
                <c:pt idx="13">
                  <c:v>714328.32976491214</c:v>
                </c:pt>
                <c:pt idx="14">
                  <c:v>753073.41503746854</c:v>
                </c:pt>
                <c:pt idx="15">
                  <c:v>791818.50031002495</c:v>
                </c:pt>
                <c:pt idx="16">
                  <c:v>830563.58558258135</c:v>
                </c:pt>
                <c:pt idx="17">
                  <c:v>869308.67085513775</c:v>
                </c:pt>
                <c:pt idx="18">
                  <c:v>908053.75612769416</c:v>
                </c:pt>
                <c:pt idx="19">
                  <c:v>946798.84140025056</c:v>
                </c:pt>
                <c:pt idx="20">
                  <c:v>985543.92667280696</c:v>
                </c:pt>
                <c:pt idx="21">
                  <c:v>1024289.0119453634</c:v>
                </c:pt>
                <c:pt idx="22">
                  <c:v>1063034.0972179198</c:v>
                </c:pt>
                <c:pt idx="23">
                  <c:v>1101779.1824904762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8D-4E73-AE68-959FBD93F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73984"/>
        <c:axId val="83275776"/>
      </c:lineChart>
      <c:catAx>
        <c:axId val="8327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275776"/>
        <c:crosses val="autoZero"/>
        <c:auto val="1"/>
        <c:lblAlgn val="ctr"/>
        <c:lblOffset val="100"/>
        <c:noMultiLvlLbl val="0"/>
      </c:catAx>
      <c:valAx>
        <c:axId val="832757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83273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power!$AD$3</c:f>
          <c:strCache>
            <c:ptCount val="1"/>
            <c:pt idx="0">
              <c:v>POWER, std err = 410089, rsq = 0.18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39539941714462"/>
          <c:y val="0.13640401907780461"/>
          <c:w val="0.85418998528269319"/>
          <c:h val="0.67098120767730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power!$K$4:$K$27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power!$L$4:$L$27</c:f>
              <c:numCache>
                <c:formatCode>_(* #,##0_);_(* \(#,##0\);_(* "-"??_);_(@_)</c:formatCode>
                <c:ptCount val="24"/>
                <c:pt idx="0">
                  <c:v>87952.607231040398</c:v>
                </c:pt>
                <c:pt idx="1">
                  <c:v>727950.47150734137</c:v>
                </c:pt>
                <c:pt idx="2">
                  <c:v>379629.09222031938</c:v>
                </c:pt>
                <c:pt idx="3">
                  <c:v>240830.13923244458</c:v>
                </c:pt>
                <c:pt idx="4">
                  <c:v>135238.02977699981</c:v>
                </c:pt>
                <c:pt idx="5">
                  <c:v>228519.57362326788</c:v>
                </c:pt>
                <c:pt idx="6">
                  <c:v>82948.955202161422</c:v>
                </c:pt>
                <c:pt idx="7">
                  <c:v>1381407.561087</c:v>
                </c:pt>
                <c:pt idx="8">
                  <c:v>234989.12240507183</c:v>
                </c:pt>
                <c:pt idx="9">
                  <c:v>65283.810096418427</c:v>
                </c:pt>
                <c:pt idx="10">
                  <c:v>130810.18523888892</c:v>
                </c:pt>
                <c:pt idx="11">
                  <c:v>1905045.7055257559</c:v>
                </c:pt>
                <c:pt idx="12">
                  <c:v>449347.66668781661</c:v>
                </c:pt>
                <c:pt idx="13">
                  <c:v>426973.78122560366</c:v>
                </c:pt>
                <c:pt idx="14">
                  <c:v>774251.14242330764</c:v>
                </c:pt>
                <c:pt idx="15">
                  <c:v>445586.95325720625</c:v>
                </c:pt>
                <c:pt idx="16">
                  <c:v>252397.66153609121</c:v>
                </c:pt>
                <c:pt idx="17">
                  <c:v>1598646.6400996149</c:v>
                </c:pt>
                <c:pt idx="18">
                  <c:v>408842.58542053361</c:v>
                </c:pt>
                <c:pt idx="19">
                  <c:v>2329023.4264592025</c:v>
                </c:pt>
                <c:pt idx="20">
                  <c:v>356866.32589210744</c:v>
                </c:pt>
                <c:pt idx="21">
                  <c:v>1225000.0118695311</c:v>
                </c:pt>
                <c:pt idx="22">
                  <c:v>550165.27004080685</c:v>
                </c:pt>
                <c:pt idx="23">
                  <c:v>1331350.1264873333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4-440C-9C49-F09CE39E6160}"/>
            </c:ext>
          </c:extLst>
        </c:ser>
        <c:ser>
          <c:idx val="1"/>
          <c:order val="1"/>
          <c:tx>
            <c:strRef>
              <c:f>power!$M$3</c:f>
              <c:strCache>
                <c:ptCount val="1"/>
                <c:pt idx="0">
                  <c:v> prediction </c:v>
                </c:pt>
              </c:strCache>
            </c:strRef>
          </c:tx>
          <c:marker>
            <c:symbol val="none"/>
          </c:marker>
          <c:cat>
            <c:strRef>
              <c:f>power!$K$4:$K$27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power!$M$4:$M$27</c:f>
              <c:numCache>
                <c:formatCode>_(* #,##0_);_(* \(#,##0\);_(* "-"??_);_(@_)</c:formatCode>
                <c:ptCount val="24"/>
                <c:pt idx="0">
                  <c:v>114764.62937318919</c:v>
                </c:pt>
                <c:pt idx="1">
                  <c:v>169442.8670366224</c:v>
                </c:pt>
                <c:pt idx="2">
                  <c:v>212817.75472066406</c:v>
                </c:pt>
                <c:pt idx="3">
                  <c:v>250171.89831397482</c:v>
                </c:pt>
                <c:pt idx="4">
                  <c:v>283604.85520065314</c:v>
                </c:pt>
                <c:pt idx="5">
                  <c:v>314212.23344786296</c:v>
                </c:pt>
                <c:pt idx="6">
                  <c:v>342653.58113606938</c:v>
                </c:pt>
                <c:pt idx="7">
                  <c:v>369363.31284155376</c:v>
                </c:pt>
                <c:pt idx="8">
                  <c:v>394645.95469626028</c:v>
                </c:pt>
                <c:pt idx="9">
                  <c:v>418725.00293135765</c:v>
                </c:pt>
                <c:pt idx="10">
                  <c:v>441770.371151008</c:v>
                </c:pt>
                <c:pt idx="11">
                  <c:v>463914.90116923029</c:v>
                </c:pt>
                <c:pt idx="12">
                  <c:v>485264.84132691217</c:v>
                </c:pt>
                <c:pt idx="13">
                  <c:v>505906.78944522672</c:v>
                </c:pt>
                <c:pt idx="14">
                  <c:v>525912.45962566743</c:v>
                </c:pt>
                <c:pt idx="15">
                  <c:v>545342.05397467886</c:v>
                </c:pt>
                <c:pt idx="16">
                  <c:v>564246.70882416109</c:v>
                </c:pt>
                <c:pt idx="17">
                  <c:v>582670.30872981832</c:v>
                </c:pt>
                <c:pt idx="18">
                  <c:v>600650.85751882545</c:v>
                </c:pt>
                <c:pt idx="19">
                  <c:v>618221.53205317073</c:v>
                </c:pt>
                <c:pt idx="20">
                  <c:v>635411.50424704864</c:v>
                </c:pt>
                <c:pt idx="21">
                  <c:v>652246.5908572597</c:v>
                </c:pt>
                <c:pt idx="22">
                  <c:v>668749.77327998623</c:v>
                </c:pt>
                <c:pt idx="23">
                  <c:v>684941.6178525954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4-440C-9C49-F09CE39E6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73984"/>
        <c:axId val="83275776"/>
      </c:lineChart>
      <c:catAx>
        <c:axId val="8327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275776"/>
        <c:crosses val="autoZero"/>
        <c:auto val="1"/>
        <c:lblAlgn val="ctr"/>
        <c:lblOffset val="100"/>
        <c:noMultiLvlLbl val="0"/>
      </c:catAx>
      <c:valAx>
        <c:axId val="832757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83273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poly_2nd!$AD$3</c:f>
          <c:strCache>
            <c:ptCount val="1"/>
            <c:pt idx="0">
              <c:v>2ND ORDER POLY, std err = 436370, rsq = 0.19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39539941714462"/>
          <c:y val="0.13640401907780461"/>
          <c:w val="0.85418998528269319"/>
          <c:h val="0.67098120767730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poly_2nd!$K$4:$K$27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poly_2nd!$L$4:$L$27</c:f>
              <c:numCache>
                <c:formatCode>_(* #,##0_);_(* \(#,##0\);_(* "-"??_);_(@_)</c:formatCode>
                <c:ptCount val="24"/>
                <c:pt idx="0">
                  <c:v>87952.607231040398</c:v>
                </c:pt>
                <c:pt idx="1">
                  <c:v>727950.47150734137</c:v>
                </c:pt>
                <c:pt idx="2">
                  <c:v>379629.09222031938</c:v>
                </c:pt>
                <c:pt idx="3">
                  <c:v>240830.13923244458</c:v>
                </c:pt>
                <c:pt idx="4">
                  <c:v>135238.02977699981</c:v>
                </c:pt>
                <c:pt idx="5">
                  <c:v>228519.57362326788</c:v>
                </c:pt>
                <c:pt idx="6">
                  <c:v>82948.955202161422</c:v>
                </c:pt>
                <c:pt idx="7">
                  <c:v>1381407.561087</c:v>
                </c:pt>
                <c:pt idx="8">
                  <c:v>234989.12240507183</c:v>
                </c:pt>
                <c:pt idx="9">
                  <c:v>65283.810096418427</c:v>
                </c:pt>
                <c:pt idx="10">
                  <c:v>130810.18523888892</c:v>
                </c:pt>
                <c:pt idx="11">
                  <c:v>1905045.7055257559</c:v>
                </c:pt>
                <c:pt idx="12">
                  <c:v>449347.66668781661</c:v>
                </c:pt>
                <c:pt idx="13">
                  <c:v>426973.78122560366</c:v>
                </c:pt>
                <c:pt idx="14">
                  <c:v>774251.14242330764</c:v>
                </c:pt>
                <c:pt idx="15">
                  <c:v>445586.95325720625</c:v>
                </c:pt>
                <c:pt idx="16">
                  <c:v>252397.66153609121</c:v>
                </c:pt>
                <c:pt idx="17">
                  <c:v>1598646.6400996149</c:v>
                </c:pt>
                <c:pt idx="18">
                  <c:v>408842.58542053361</c:v>
                </c:pt>
                <c:pt idx="19">
                  <c:v>2329023.4264592025</c:v>
                </c:pt>
                <c:pt idx="20">
                  <c:v>356866.32589210744</c:v>
                </c:pt>
                <c:pt idx="21">
                  <c:v>1225000.0118695311</c:v>
                </c:pt>
                <c:pt idx="22">
                  <c:v>550165.27004080685</c:v>
                </c:pt>
                <c:pt idx="23">
                  <c:v>1331350.1264873333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D-4FD9-A117-9516F5A38681}"/>
            </c:ext>
          </c:extLst>
        </c:ser>
        <c:ser>
          <c:idx val="1"/>
          <c:order val="1"/>
          <c:tx>
            <c:strRef>
              <c:f>poly_2nd!$M$3</c:f>
              <c:strCache>
                <c:ptCount val="1"/>
                <c:pt idx="0">
                  <c:v> prediction </c:v>
                </c:pt>
              </c:strCache>
            </c:strRef>
          </c:tx>
          <c:marker>
            <c:symbol val="none"/>
          </c:marker>
          <c:cat>
            <c:strRef>
              <c:f>poly_2nd!$K$4:$K$27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poly_2nd!$M$4:$M$27</c:f>
              <c:numCache>
                <c:formatCode>_(* #,##0_);_(* \(#,##0\);_(* "-"??_);_(@_)</c:formatCode>
                <c:ptCount val="24"/>
                <c:pt idx="0">
                  <c:v>262369.00862821762</c:v>
                </c:pt>
                <c:pt idx="1">
                  <c:v>287620.14935993787</c:v>
                </c:pt>
                <c:pt idx="2">
                  <c:v>314098.01232264325</c:v>
                </c:pt>
                <c:pt idx="3">
                  <c:v>341802.59751633374</c:v>
                </c:pt>
                <c:pt idx="4">
                  <c:v>370733.90494100936</c:v>
                </c:pt>
                <c:pt idx="5">
                  <c:v>400891.93459666998</c:v>
                </c:pt>
                <c:pt idx="6">
                  <c:v>432276.68648331577</c:v>
                </c:pt>
                <c:pt idx="7">
                  <c:v>464888.16060094663</c:v>
                </c:pt>
                <c:pt idx="8">
                  <c:v>498726.35694956261</c:v>
                </c:pt>
                <c:pt idx="9">
                  <c:v>533791.27552916366</c:v>
                </c:pt>
                <c:pt idx="10">
                  <c:v>570082.91633974994</c:v>
                </c:pt>
                <c:pt idx="11">
                  <c:v>607601.27938132116</c:v>
                </c:pt>
                <c:pt idx="12">
                  <c:v>646346.36465387756</c:v>
                </c:pt>
                <c:pt idx="13">
                  <c:v>686318.17215741903</c:v>
                </c:pt>
                <c:pt idx="14">
                  <c:v>727516.70189194568</c:v>
                </c:pt>
                <c:pt idx="15">
                  <c:v>769941.95385745738</c:v>
                </c:pt>
                <c:pt idx="16">
                  <c:v>813593.92805395403</c:v>
                </c:pt>
                <c:pt idx="17">
                  <c:v>858472.62448143598</c:v>
                </c:pt>
                <c:pt idx="18">
                  <c:v>904578.04313990299</c:v>
                </c:pt>
                <c:pt idx="19">
                  <c:v>951910.18402935506</c:v>
                </c:pt>
                <c:pt idx="20">
                  <c:v>1000469.0471497923</c:v>
                </c:pt>
                <c:pt idx="21">
                  <c:v>1050254.6325012147</c:v>
                </c:pt>
                <c:pt idx="22">
                  <c:v>1101266.940083622</c:v>
                </c:pt>
                <c:pt idx="23">
                  <c:v>1153505.9698970146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D-4FD9-A117-9516F5A38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73984"/>
        <c:axId val="83275776"/>
      </c:lineChart>
      <c:catAx>
        <c:axId val="8327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275776"/>
        <c:crosses val="autoZero"/>
        <c:auto val="1"/>
        <c:lblAlgn val="ctr"/>
        <c:lblOffset val="100"/>
        <c:noMultiLvlLbl val="0"/>
      </c:catAx>
      <c:valAx>
        <c:axId val="832757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83273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poly_3rd!$AD$3</c:f>
          <c:strCache>
            <c:ptCount val="1"/>
            <c:pt idx="0">
              <c:v>3RD ORDER POLY, std err = 435139, rsq = 0.19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39539941714462"/>
          <c:y val="0.13640401907780461"/>
          <c:w val="0.85418998528269319"/>
          <c:h val="0.67098120767730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poly_3rd!$K$4:$K$27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poly_3rd!$L$4:$L$27</c:f>
              <c:numCache>
                <c:formatCode>_(* #,##0_);_(* \(#,##0\);_(* "-"??_);_(@_)</c:formatCode>
                <c:ptCount val="24"/>
                <c:pt idx="0">
                  <c:v>87952.607231040398</c:v>
                </c:pt>
                <c:pt idx="1">
                  <c:v>727950.47150734137</c:v>
                </c:pt>
                <c:pt idx="2">
                  <c:v>379629.09222031938</c:v>
                </c:pt>
                <c:pt idx="3">
                  <c:v>240830.13923244458</c:v>
                </c:pt>
                <c:pt idx="4">
                  <c:v>135238.02977699981</c:v>
                </c:pt>
                <c:pt idx="5">
                  <c:v>228519.57362326788</c:v>
                </c:pt>
                <c:pt idx="6">
                  <c:v>82948.955202161422</c:v>
                </c:pt>
                <c:pt idx="7">
                  <c:v>1381407.561087</c:v>
                </c:pt>
                <c:pt idx="8">
                  <c:v>234989.12240507183</c:v>
                </c:pt>
                <c:pt idx="9">
                  <c:v>65283.810096418427</c:v>
                </c:pt>
                <c:pt idx="10">
                  <c:v>130810.18523888892</c:v>
                </c:pt>
                <c:pt idx="11">
                  <c:v>1905045.7055257559</c:v>
                </c:pt>
                <c:pt idx="12">
                  <c:v>449347.66668781661</c:v>
                </c:pt>
                <c:pt idx="13">
                  <c:v>426973.78122560366</c:v>
                </c:pt>
                <c:pt idx="14">
                  <c:v>774251.14242330764</c:v>
                </c:pt>
                <c:pt idx="15">
                  <c:v>445586.95325720625</c:v>
                </c:pt>
                <c:pt idx="16">
                  <c:v>252397.66153609121</c:v>
                </c:pt>
                <c:pt idx="17">
                  <c:v>1598646.6400996149</c:v>
                </c:pt>
                <c:pt idx="18">
                  <c:v>408842.58542053361</c:v>
                </c:pt>
                <c:pt idx="19">
                  <c:v>2329023.4264592025</c:v>
                </c:pt>
                <c:pt idx="20">
                  <c:v>356866.32589210744</c:v>
                </c:pt>
                <c:pt idx="21">
                  <c:v>1225000.0118695311</c:v>
                </c:pt>
                <c:pt idx="22">
                  <c:v>550165.27004080685</c:v>
                </c:pt>
                <c:pt idx="23">
                  <c:v>1331350.1264873333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6-415F-8A9A-532F51CC1C8E}"/>
            </c:ext>
          </c:extLst>
        </c:ser>
        <c:ser>
          <c:idx val="1"/>
          <c:order val="1"/>
          <c:tx>
            <c:strRef>
              <c:f>poly_3rd!$M$3</c:f>
              <c:strCache>
                <c:ptCount val="1"/>
                <c:pt idx="0">
                  <c:v> prediction </c:v>
                </c:pt>
              </c:strCache>
            </c:strRef>
          </c:tx>
          <c:marker>
            <c:symbol val="none"/>
          </c:marker>
          <c:cat>
            <c:strRef>
              <c:f>poly_3rd!$K$4:$K$27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poly_3rd!$M$4:$M$27</c:f>
              <c:numCache>
                <c:formatCode>_(* #,##0_);_(* \(#,##0\);_(* "-"??_);_(@_)</c:formatCode>
                <c:ptCount val="24"/>
                <c:pt idx="0">
                  <c:v>331362.00884572341</c:v>
                </c:pt>
                <c:pt idx="1">
                  <c:v>320616.80163787544</c:v>
                </c:pt>
                <c:pt idx="2">
                  <c:v>319279.30482909631</c:v>
                </c:pt>
                <c:pt idx="3">
                  <c:v>326570.37668909226</c:v>
                </c:pt>
                <c:pt idx="4">
                  <c:v>341710.87548756972</c:v>
                </c:pt>
                <c:pt idx="5">
                  <c:v>363921.65949423483</c:v>
                </c:pt>
                <c:pt idx="6">
                  <c:v>392423.58697879408</c:v>
                </c:pt>
                <c:pt idx="7">
                  <c:v>426437.51621095365</c:v>
                </c:pt>
                <c:pt idx="8">
                  <c:v>465184.30546041991</c:v>
                </c:pt>
                <c:pt idx="9">
                  <c:v>507884.81299689924</c:v>
                </c:pt>
                <c:pt idx="10">
                  <c:v>553759.89709009766</c:v>
                </c:pt>
                <c:pt idx="11">
                  <c:v>602030.41600972181</c:v>
                </c:pt>
                <c:pt idx="12">
                  <c:v>651917.22802547808</c:v>
                </c:pt>
                <c:pt idx="13">
                  <c:v>702641.19140707236</c:v>
                </c:pt>
                <c:pt idx="14">
                  <c:v>753423.16442421137</c:v>
                </c:pt>
                <c:pt idx="15">
                  <c:v>803484.00534660101</c:v>
                </c:pt>
                <c:pt idx="16">
                  <c:v>852044.57244394801</c:v>
                </c:pt>
                <c:pt idx="17">
                  <c:v>898325.72398595826</c:v>
                </c:pt>
                <c:pt idx="18">
                  <c:v>941548.31824233849</c:v>
                </c:pt>
                <c:pt idx="19">
                  <c:v>980933.21348279505</c:v>
                </c:pt>
                <c:pt idx="20">
                  <c:v>1015701.2679770334</c:v>
                </c:pt>
                <c:pt idx="21">
                  <c:v>1045073.3399947608</c:v>
                </c:pt>
                <c:pt idx="22">
                  <c:v>1068270.2878056834</c:v>
                </c:pt>
                <c:pt idx="23">
                  <c:v>1084512.969679507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6-415F-8A9A-532F51CC1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73984"/>
        <c:axId val="83275776"/>
      </c:lineChart>
      <c:catAx>
        <c:axId val="8327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275776"/>
        <c:crosses val="autoZero"/>
        <c:auto val="1"/>
        <c:lblAlgn val="ctr"/>
        <c:lblOffset val="100"/>
        <c:noMultiLvlLbl val="0"/>
      </c:catAx>
      <c:valAx>
        <c:axId val="832757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83273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exp!$AD$3</c:f>
          <c:strCache>
            <c:ptCount val="1"/>
            <c:pt idx="0">
              <c:v>EXPONENTIAL, std err = 393610, rsq = 0.18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39539941714462"/>
          <c:y val="0.13640401907780461"/>
          <c:w val="0.85418998528269319"/>
          <c:h val="0.67098120767730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exp!$K$4:$K$27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exp!$L$4:$L$27</c:f>
              <c:numCache>
                <c:formatCode>_(* #,##0_);_(* \(#,##0\);_(* "-"??_);_(@_)</c:formatCode>
                <c:ptCount val="24"/>
                <c:pt idx="0">
                  <c:v>87952.607231040398</c:v>
                </c:pt>
                <c:pt idx="1">
                  <c:v>727950.47150734137</c:v>
                </c:pt>
                <c:pt idx="2">
                  <c:v>379629.09222031938</c:v>
                </c:pt>
                <c:pt idx="3">
                  <c:v>240830.13923244458</c:v>
                </c:pt>
                <c:pt idx="4">
                  <c:v>135238.02977699981</c:v>
                </c:pt>
                <c:pt idx="5">
                  <c:v>228519.57362326788</c:v>
                </c:pt>
                <c:pt idx="6">
                  <c:v>82948.955202161422</c:v>
                </c:pt>
                <c:pt idx="7">
                  <c:v>1381407.561087</c:v>
                </c:pt>
                <c:pt idx="8">
                  <c:v>234989.12240507183</c:v>
                </c:pt>
                <c:pt idx="9">
                  <c:v>65283.810096418427</c:v>
                </c:pt>
                <c:pt idx="10">
                  <c:v>130810.18523888892</c:v>
                </c:pt>
                <c:pt idx="11">
                  <c:v>1905045.7055257559</c:v>
                </c:pt>
                <c:pt idx="12">
                  <c:v>449347.66668781661</c:v>
                </c:pt>
                <c:pt idx="13">
                  <c:v>426973.78122560366</c:v>
                </c:pt>
                <c:pt idx="14">
                  <c:v>774251.14242330764</c:v>
                </c:pt>
                <c:pt idx="15">
                  <c:v>445586.95325720625</c:v>
                </c:pt>
                <c:pt idx="16">
                  <c:v>252397.66153609121</c:v>
                </c:pt>
                <c:pt idx="17">
                  <c:v>1598646.6400996149</c:v>
                </c:pt>
                <c:pt idx="18">
                  <c:v>408842.58542053361</c:v>
                </c:pt>
                <c:pt idx="19">
                  <c:v>2329023.4264592025</c:v>
                </c:pt>
                <c:pt idx="20">
                  <c:v>356866.32589210744</c:v>
                </c:pt>
                <c:pt idx="21">
                  <c:v>1225000.0118695311</c:v>
                </c:pt>
                <c:pt idx="22">
                  <c:v>550165.27004080685</c:v>
                </c:pt>
                <c:pt idx="23">
                  <c:v>1331350.1264873333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F-4FE4-AF13-BAABF0B5FF06}"/>
            </c:ext>
          </c:extLst>
        </c:ser>
        <c:ser>
          <c:idx val="1"/>
          <c:order val="1"/>
          <c:tx>
            <c:strRef>
              <c:f>exp!$M$3</c:f>
              <c:strCache>
                <c:ptCount val="1"/>
                <c:pt idx="0">
                  <c:v> prediction </c:v>
                </c:pt>
              </c:strCache>
            </c:strRef>
          </c:tx>
          <c:marker>
            <c:symbol val="none"/>
          </c:marker>
          <c:cat>
            <c:strRef>
              <c:f>exp!$K$4:$K$27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exp!$M$4:$M$27</c:f>
              <c:numCache>
                <c:formatCode>_(* #,##0_);_(* \(#,##0\);_(* "-"??_);_(@_)</c:formatCode>
                <c:ptCount val="24"/>
                <c:pt idx="0">
                  <c:v>175513.66802245568</c:v>
                </c:pt>
                <c:pt idx="1">
                  <c:v>189470.0403751847</c:v>
                </c:pt>
                <c:pt idx="2">
                  <c:v>204536.1857241861</c:v>
                </c:pt>
                <c:pt idx="3">
                  <c:v>220800.35021767989</c:v>
                </c:pt>
                <c:pt idx="4">
                  <c:v>238357.79709900572</c:v>
                </c:pt>
                <c:pt idx="5">
                  <c:v>257311.36468705451</c:v>
                </c:pt>
                <c:pt idx="6">
                  <c:v>277772.06872579595</c:v>
                </c:pt>
                <c:pt idx="7">
                  <c:v>299859.75263101218</c:v>
                </c:pt>
                <c:pt idx="8">
                  <c:v>323703.78944289283</c:v>
                </c:pt>
                <c:pt idx="9">
                  <c:v>349443.83959600341</c:v>
                </c:pt>
                <c:pt idx="10">
                  <c:v>377230.66894507251</c:v>
                </c:pt>
                <c:pt idx="11">
                  <c:v>407227.03183797788</c:v>
                </c:pt>
                <c:pt idx="12">
                  <c:v>439608.62440830871</c:v>
                </c:pt>
                <c:pt idx="13">
                  <c:v>474565.11367117567</c:v>
                </c:pt>
                <c:pt idx="14">
                  <c:v>512301.24844993686</c:v>
                </c:pt>
                <c:pt idx="15">
                  <c:v>553038.05864081322</c:v>
                </c:pt>
                <c:pt idx="16">
                  <c:v>597014.14983978518</c:v>
                </c:pt>
                <c:pt idx="17">
                  <c:v>644487.100914718</c:v>
                </c:pt>
                <c:pt idx="18">
                  <c:v>695734.97270864493</c:v>
                </c:pt>
                <c:pt idx="19">
                  <c:v>751057.93671105697</c:v>
                </c:pt>
                <c:pt idx="20">
                  <c:v>810780.03323672956</c:v>
                </c:pt>
                <c:pt idx="21">
                  <c:v>875251.06941017485</c:v>
                </c:pt>
                <c:pt idx="22">
                  <c:v>944848.66807268967</c:v>
                </c:pt>
                <c:pt idx="23">
                  <c:v>1019980.4796129478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F-4FE4-AF13-BAABF0B5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73984"/>
        <c:axId val="83275776"/>
      </c:lineChart>
      <c:catAx>
        <c:axId val="8327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275776"/>
        <c:crosses val="autoZero"/>
        <c:auto val="1"/>
        <c:lblAlgn val="ctr"/>
        <c:lblOffset val="100"/>
        <c:noMultiLvlLbl val="0"/>
      </c:catAx>
      <c:valAx>
        <c:axId val="832757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83273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exp!$AD$3</c:f>
          <c:strCache>
            <c:ptCount val="1"/>
            <c:pt idx="0">
              <c:v>EXPONENTIAL, std err = 393610, rsq = 0.18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39539941714462"/>
          <c:y val="0.13640401907780461"/>
          <c:w val="0.85418998528269319"/>
          <c:h val="0.67098120767730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log!$K$4:$K$27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log!$L$4:$L$27</c:f>
              <c:numCache>
                <c:formatCode>_(* #,##0_);_(* \(#,##0\);_(* "-"??_);_(@_)</c:formatCode>
                <c:ptCount val="24"/>
                <c:pt idx="0">
                  <c:v>87952.607231040398</c:v>
                </c:pt>
                <c:pt idx="1">
                  <c:v>727950.47150734137</c:v>
                </c:pt>
                <c:pt idx="2">
                  <c:v>379629.09222031938</c:v>
                </c:pt>
                <c:pt idx="3">
                  <c:v>240830.13923244458</c:v>
                </c:pt>
                <c:pt idx="4">
                  <c:v>135238.02977699981</c:v>
                </c:pt>
                <c:pt idx="5">
                  <c:v>228519.57362326788</c:v>
                </c:pt>
                <c:pt idx="6">
                  <c:v>82948.955202161422</c:v>
                </c:pt>
                <c:pt idx="7">
                  <c:v>1381407.561087</c:v>
                </c:pt>
                <c:pt idx="8">
                  <c:v>234989.12240507183</c:v>
                </c:pt>
                <c:pt idx="9">
                  <c:v>65283.810096418427</c:v>
                </c:pt>
                <c:pt idx="10">
                  <c:v>130810.18523888892</c:v>
                </c:pt>
                <c:pt idx="11">
                  <c:v>1905045.7055257559</c:v>
                </c:pt>
                <c:pt idx="12">
                  <c:v>449347.66668781661</c:v>
                </c:pt>
                <c:pt idx="13">
                  <c:v>426973.78122560366</c:v>
                </c:pt>
                <c:pt idx="14">
                  <c:v>774251.14242330764</c:v>
                </c:pt>
                <c:pt idx="15">
                  <c:v>445586.95325720625</c:v>
                </c:pt>
                <c:pt idx="16">
                  <c:v>252397.66153609121</c:v>
                </c:pt>
                <c:pt idx="17">
                  <c:v>1598646.6400996149</c:v>
                </c:pt>
                <c:pt idx="18">
                  <c:v>408842.58542053361</c:v>
                </c:pt>
                <c:pt idx="19">
                  <c:v>2329023.4264592025</c:v>
                </c:pt>
                <c:pt idx="20">
                  <c:v>356866.32589210744</c:v>
                </c:pt>
                <c:pt idx="21">
                  <c:v>1225000.0118695311</c:v>
                </c:pt>
                <c:pt idx="22">
                  <c:v>550165.27004080685</c:v>
                </c:pt>
                <c:pt idx="23">
                  <c:v>1331350.1264873333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B-43E6-967B-2EEF8B37F654}"/>
            </c:ext>
          </c:extLst>
        </c:ser>
        <c:ser>
          <c:idx val="1"/>
          <c:order val="1"/>
          <c:tx>
            <c:strRef>
              <c:f>log!$M$3</c:f>
              <c:strCache>
                <c:ptCount val="1"/>
                <c:pt idx="0">
                  <c:v> prediction </c:v>
                </c:pt>
              </c:strCache>
            </c:strRef>
          </c:tx>
          <c:marker>
            <c:symbol val="none"/>
          </c:marker>
          <c:cat>
            <c:strRef>
              <c:f>log!$K$4:$K$27</c:f>
              <c:strCache>
                <c:ptCount val="2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</c:strCache>
            </c:strRef>
          </c:cat>
          <c:val>
            <c:numRef>
              <c:f>log!$M$4:$M$27</c:f>
              <c:numCache>
                <c:formatCode>_(* #,##0_);_(* \(#,##0\);_(* "-"??_);_(@_)</c:formatCode>
                <c:ptCount val="24"/>
                <c:pt idx="0">
                  <c:v>-11180.911048143869</c:v>
                </c:pt>
                <c:pt idx="1">
                  <c:v>191474.37040545986</c:v>
                </c:pt>
                <c:pt idx="2">
                  <c:v>310020.11062890972</c:v>
                </c:pt>
                <c:pt idx="3">
                  <c:v>394129.6518590636</c:v>
                </c:pt>
                <c:pt idx="4">
                  <c:v>459370.08053628448</c:v>
                </c:pt>
                <c:pt idx="5">
                  <c:v>512675.39208251343</c:v>
                </c:pt>
                <c:pt idx="6">
                  <c:v>557744.39082159975</c:v>
                </c:pt>
                <c:pt idx="7">
                  <c:v>596784.9333126673</c:v>
                </c:pt>
                <c:pt idx="8">
                  <c:v>631221.13230596331</c:v>
                </c:pt>
                <c:pt idx="9">
                  <c:v>662025.36198988836</c:v>
                </c:pt>
                <c:pt idx="10">
                  <c:v>689891.17729629367</c:v>
                </c:pt>
                <c:pt idx="11">
                  <c:v>715330.67353611719</c:v>
                </c:pt>
                <c:pt idx="12">
                  <c:v>738732.74153383332</c:v>
                </c:pt>
                <c:pt idx="13">
                  <c:v>760399.6722752034</c:v>
                </c:pt>
                <c:pt idx="14">
                  <c:v>780571.10221333802</c:v>
                </c:pt>
                <c:pt idx="15">
                  <c:v>799440.21476627106</c:v>
                </c:pt>
                <c:pt idx="16">
                  <c:v>817165.02147659054</c:v>
                </c:pt>
                <c:pt idx="17">
                  <c:v>833876.41375956696</c:v>
                </c:pt>
                <c:pt idx="18">
                  <c:v>849684.034783273</c:v>
                </c:pt>
                <c:pt idx="19">
                  <c:v>864680.64344349201</c:v>
                </c:pt>
                <c:pt idx="20">
                  <c:v>878945.41249865328</c:v>
                </c:pt>
                <c:pt idx="21">
                  <c:v>892546.45874989743</c:v>
                </c:pt>
                <c:pt idx="22">
                  <c:v>905542.81032940443</c:v>
                </c:pt>
                <c:pt idx="23">
                  <c:v>917985.95498972095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B-43E6-967B-2EEF8B37F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73984"/>
        <c:axId val="83275776"/>
      </c:lineChart>
      <c:catAx>
        <c:axId val="8327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275776"/>
        <c:crosses val="autoZero"/>
        <c:auto val="1"/>
        <c:lblAlgn val="ctr"/>
        <c:lblOffset val="100"/>
        <c:noMultiLvlLbl val="0"/>
      </c:catAx>
      <c:valAx>
        <c:axId val="83275776"/>
        <c:scaling>
          <c:orientation val="minMax"/>
          <c:min val="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83273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47625</xdr:rowOff>
    </xdr:from>
    <xdr:to>
      <xdr:col>7</xdr:col>
      <xdr:colOff>462923</xdr:colOff>
      <xdr:row>35</xdr:row>
      <xdr:rowOff>71967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D1147-8E2B-4FE7-830E-CEEF55CA5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713" t="8242" r="30929" b="5451"/>
        <a:stretch/>
      </xdr:blipFill>
      <xdr:spPr>
        <a:xfrm>
          <a:off x="244475" y="473075"/>
          <a:ext cx="4072898" cy="6099175"/>
        </a:xfrm>
        <a:prstGeom prst="rect">
          <a:avLst/>
        </a:prstGeom>
      </xdr:spPr>
    </xdr:pic>
    <xdr:clientData/>
  </xdr:twoCellAnchor>
  <xdr:twoCellAnchor>
    <xdr:from>
      <xdr:col>15</xdr:col>
      <xdr:colOff>22224</xdr:colOff>
      <xdr:row>0</xdr:row>
      <xdr:rowOff>218545</xdr:rowOff>
    </xdr:from>
    <xdr:to>
      <xdr:col>26</xdr:col>
      <xdr:colOff>465667</xdr:colOff>
      <xdr:row>22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A14695-A22C-49ED-8033-33F4BA1AC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47625</xdr:rowOff>
    </xdr:from>
    <xdr:to>
      <xdr:col>7</xdr:col>
      <xdr:colOff>462923</xdr:colOff>
      <xdr:row>35</xdr:row>
      <xdr:rowOff>71967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64DC8-5EC0-4400-B094-649DE612BE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713" t="8242" r="30929" b="5451"/>
        <a:stretch/>
      </xdr:blipFill>
      <xdr:spPr>
        <a:xfrm>
          <a:off x="244475" y="473075"/>
          <a:ext cx="4072898" cy="609917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</xdr:row>
      <xdr:rowOff>0</xdr:rowOff>
    </xdr:from>
    <xdr:to>
      <xdr:col>26</xdr:col>
      <xdr:colOff>443443</xdr:colOff>
      <xdr:row>22</xdr:row>
      <xdr:rowOff>109539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03CD95-0F5C-4B22-B105-8E3EB68A6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47625</xdr:rowOff>
    </xdr:from>
    <xdr:to>
      <xdr:col>7</xdr:col>
      <xdr:colOff>462923</xdr:colOff>
      <xdr:row>35</xdr:row>
      <xdr:rowOff>61383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9E8F-18A2-403D-ACD4-B2419E151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713" t="8242" r="30929" b="5451"/>
        <a:stretch/>
      </xdr:blipFill>
      <xdr:spPr>
        <a:xfrm>
          <a:off x="244475" y="473075"/>
          <a:ext cx="4072898" cy="609917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</xdr:row>
      <xdr:rowOff>0</xdr:rowOff>
    </xdr:from>
    <xdr:to>
      <xdr:col>26</xdr:col>
      <xdr:colOff>443443</xdr:colOff>
      <xdr:row>22</xdr:row>
      <xdr:rowOff>151872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3DD104-29EF-47E8-99A2-09BE9F87F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47625</xdr:rowOff>
    </xdr:from>
    <xdr:to>
      <xdr:col>7</xdr:col>
      <xdr:colOff>462922</xdr:colOff>
      <xdr:row>35</xdr:row>
      <xdr:rowOff>66221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7CBD1-5EDE-4BA1-8542-A746052F67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713" t="8242" r="30929" b="5451"/>
        <a:stretch/>
      </xdr:blipFill>
      <xdr:spPr>
        <a:xfrm>
          <a:off x="244475" y="473075"/>
          <a:ext cx="4072898" cy="6097058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</xdr:row>
      <xdr:rowOff>0</xdr:rowOff>
    </xdr:from>
    <xdr:to>
      <xdr:col>26</xdr:col>
      <xdr:colOff>509967</xdr:colOff>
      <xdr:row>22</xdr:row>
      <xdr:rowOff>21848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E55EA1-91E8-4D48-8E7D-96291C3B3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47625</xdr:rowOff>
    </xdr:from>
    <xdr:to>
      <xdr:col>7</xdr:col>
      <xdr:colOff>462923</xdr:colOff>
      <xdr:row>35</xdr:row>
      <xdr:rowOff>68338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D2A4F-3DCA-4E54-87A9-2965F57DF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713" t="8242" r="30929" b="5451"/>
        <a:stretch/>
      </xdr:blipFill>
      <xdr:spPr>
        <a:xfrm>
          <a:off x="244475" y="473075"/>
          <a:ext cx="4072898" cy="609917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</xdr:row>
      <xdr:rowOff>0</xdr:rowOff>
    </xdr:from>
    <xdr:to>
      <xdr:col>26</xdr:col>
      <xdr:colOff>509967</xdr:colOff>
      <xdr:row>22</xdr:row>
      <xdr:rowOff>76277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FFCEDC-BED2-4E42-A940-9C102A051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47625</xdr:rowOff>
    </xdr:from>
    <xdr:to>
      <xdr:col>7</xdr:col>
      <xdr:colOff>462923</xdr:colOff>
      <xdr:row>35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713" t="8242" r="30929" b="5451"/>
        <a:stretch/>
      </xdr:blipFill>
      <xdr:spPr>
        <a:xfrm>
          <a:off x="47625" y="47625"/>
          <a:ext cx="4072898" cy="63055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</xdr:row>
      <xdr:rowOff>0</xdr:rowOff>
    </xdr:from>
    <xdr:to>
      <xdr:col>26</xdr:col>
      <xdr:colOff>509967</xdr:colOff>
      <xdr:row>22</xdr:row>
      <xdr:rowOff>76277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853B9B-3956-4670-B19F-C9E1E40B2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CD63-1BDD-4D3B-B3B9-A77940AAB0D5}">
  <dimension ref="B1:AD38"/>
  <sheetViews>
    <sheetView tabSelected="1" zoomScale="60" zoomScaleNormal="60" workbookViewId="0"/>
  </sheetViews>
  <sheetFormatPr defaultRowHeight="14" customHeight="1" x14ac:dyDescent="0.35"/>
  <cols>
    <col min="1" max="1" width="2.81640625" customWidth="1"/>
    <col min="9" max="9" width="1.81640625" customWidth="1"/>
    <col min="10" max="10" width="3.1796875" customWidth="1"/>
    <col min="12" max="14" width="11.453125" style="17" customWidth="1"/>
  </cols>
  <sheetData>
    <row r="1" spans="2:30" s="3" customFormat="1" ht="19" thickBot="1" x14ac:dyDescent="0.5">
      <c r="K1" s="2" t="s">
        <v>0</v>
      </c>
      <c r="L1" s="16"/>
      <c r="M1" s="16"/>
      <c r="N1" s="16"/>
    </row>
    <row r="2" spans="2:30" ht="14" customHeight="1" x14ac:dyDescent="0.35">
      <c r="B2" s="4"/>
      <c r="C2" s="5"/>
      <c r="D2" s="5"/>
      <c r="E2" s="5"/>
      <c r="F2" s="5"/>
      <c r="G2" s="5"/>
      <c r="H2" s="6"/>
    </row>
    <row r="3" spans="2:30" ht="14" customHeight="1" x14ac:dyDescent="0.35">
      <c r="B3" s="7"/>
      <c r="C3" s="8"/>
      <c r="D3" s="8"/>
      <c r="E3" s="8"/>
      <c r="F3" s="8"/>
      <c r="G3" s="8"/>
      <c r="H3" s="9"/>
      <c r="J3" t="s">
        <v>7</v>
      </c>
      <c r="K3" t="s">
        <v>20</v>
      </c>
      <c r="L3" s="17" t="s">
        <v>21</v>
      </c>
      <c r="M3" s="17" t="s">
        <v>8</v>
      </c>
      <c r="N3" s="17" t="s">
        <v>9</v>
      </c>
      <c r="AD3" t="str">
        <f>K1&amp;", "&amp;"std err = "&amp;ROUND(L31,0)&amp;", "&amp;"rsq = "&amp;ROUND(L32,2)</f>
        <v>LINEAR, std err = 441737, rsq = 0.19</v>
      </c>
    </row>
    <row r="4" spans="2:30" ht="14" customHeight="1" x14ac:dyDescent="0.35">
      <c r="B4" s="7"/>
      <c r="C4" s="8"/>
      <c r="D4" s="8"/>
      <c r="E4" s="8"/>
      <c r="F4" s="8"/>
      <c r="G4" s="8"/>
      <c r="H4" s="9"/>
      <c r="J4">
        <v>1</v>
      </c>
      <c r="K4" t="s">
        <v>22</v>
      </c>
      <c r="L4" s="17">
        <v>87952.607231040398</v>
      </c>
      <c r="M4" s="17">
        <f t="shared" ref="M4:M27" si="0">L$29+L$30*J4</f>
        <v>210642.22122167918</v>
      </c>
      <c r="N4" s="17">
        <f>SQRT((M4-L4)^2)</f>
        <v>122689.61399063878</v>
      </c>
    </row>
    <row r="5" spans="2:30" ht="14" customHeight="1" x14ac:dyDescent="0.35">
      <c r="B5" s="7"/>
      <c r="C5" s="8"/>
      <c r="D5" s="8"/>
      <c r="E5" s="8"/>
      <c r="F5" s="8"/>
      <c r="G5" s="8"/>
      <c r="H5" s="9"/>
      <c r="J5">
        <v>2</v>
      </c>
      <c r="K5" t="s">
        <v>23</v>
      </c>
      <c r="L5" s="17">
        <v>727950.47150734137</v>
      </c>
      <c r="M5" s="17">
        <f t="shared" si="0"/>
        <v>249387.30649423556</v>
      </c>
      <c r="N5" s="17">
        <f t="shared" ref="N5:N27" si="1">SQRT((M5-L5)^2)</f>
        <v>478563.16501310584</v>
      </c>
    </row>
    <row r="6" spans="2:30" ht="14" customHeight="1" x14ac:dyDescent="0.35">
      <c r="B6" s="7"/>
      <c r="C6" s="8"/>
      <c r="D6" s="8"/>
      <c r="E6" s="8"/>
      <c r="F6" s="8"/>
      <c r="G6" s="8"/>
      <c r="H6" s="9"/>
      <c r="J6">
        <v>3</v>
      </c>
      <c r="K6" t="s">
        <v>24</v>
      </c>
      <c r="L6" s="17">
        <v>379629.09222031938</v>
      </c>
      <c r="M6" s="17">
        <f t="shared" si="0"/>
        <v>288132.39176679193</v>
      </c>
      <c r="N6" s="17">
        <f t="shared" si="1"/>
        <v>91496.700453527446</v>
      </c>
    </row>
    <row r="7" spans="2:30" ht="14" customHeight="1" x14ac:dyDescent="0.35">
      <c r="B7" s="7"/>
      <c r="C7" s="8"/>
      <c r="D7" s="8"/>
      <c r="E7" s="8"/>
      <c r="F7" s="8"/>
      <c r="G7" s="8"/>
      <c r="H7" s="9"/>
      <c r="J7">
        <v>4</v>
      </c>
      <c r="K7" t="s">
        <v>25</v>
      </c>
      <c r="L7" s="17">
        <v>240830.13923244458</v>
      </c>
      <c r="M7" s="17">
        <f t="shared" si="0"/>
        <v>326877.47703934833</v>
      </c>
      <c r="N7" s="17">
        <f t="shared" si="1"/>
        <v>86047.337806903757</v>
      </c>
    </row>
    <row r="8" spans="2:30" ht="14" customHeight="1" x14ac:dyDescent="0.35">
      <c r="B8" s="7"/>
      <c r="C8" s="8"/>
      <c r="D8" s="8"/>
      <c r="E8" s="8"/>
      <c r="F8" s="8"/>
      <c r="G8" s="8"/>
      <c r="H8" s="9"/>
      <c r="J8">
        <v>5</v>
      </c>
      <c r="K8" t="s">
        <v>26</v>
      </c>
      <c r="L8" s="17">
        <v>135238.02977699981</v>
      </c>
      <c r="M8" s="17">
        <f t="shared" si="0"/>
        <v>365622.56231190474</v>
      </c>
      <c r="N8" s="17">
        <f t="shared" si="1"/>
        <v>230384.53253490492</v>
      </c>
    </row>
    <row r="9" spans="2:30" ht="14" customHeight="1" x14ac:dyDescent="0.35">
      <c r="B9" s="7"/>
      <c r="C9" s="8"/>
      <c r="D9" s="8"/>
      <c r="E9" s="8"/>
      <c r="F9" s="8"/>
      <c r="G9" s="8"/>
      <c r="H9" s="9"/>
      <c r="J9">
        <v>6</v>
      </c>
      <c r="K9" t="s">
        <v>27</v>
      </c>
      <c r="L9" s="17">
        <v>228519.57362326788</v>
      </c>
      <c r="M9" s="17">
        <f>L$29+L$30*J9</f>
        <v>404367.64758446114</v>
      </c>
      <c r="N9" s="17">
        <f t="shared" si="1"/>
        <v>175848.07396119327</v>
      </c>
    </row>
    <row r="10" spans="2:30" ht="14" customHeight="1" x14ac:dyDescent="0.35">
      <c r="B10" s="7"/>
      <c r="C10" s="8"/>
      <c r="D10" s="8"/>
      <c r="E10" s="8"/>
      <c r="F10" s="8"/>
      <c r="G10" s="8"/>
      <c r="H10" s="9"/>
      <c r="J10">
        <v>7</v>
      </c>
      <c r="K10" t="s">
        <v>28</v>
      </c>
      <c r="L10" s="17">
        <v>82948.955202161422</v>
      </c>
      <c r="M10" s="17">
        <f t="shared" si="0"/>
        <v>443112.73285701749</v>
      </c>
      <c r="N10" s="17">
        <f t="shared" si="1"/>
        <v>360163.77765485609</v>
      </c>
    </row>
    <row r="11" spans="2:30" ht="14" customHeight="1" x14ac:dyDescent="0.35">
      <c r="B11" s="7"/>
      <c r="C11" s="8"/>
      <c r="D11" s="8"/>
      <c r="E11" s="8"/>
      <c r="F11" s="8"/>
      <c r="G11" s="8"/>
      <c r="H11" s="9"/>
      <c r="J11">
        <v>8</v>
      </c>
      <c r="K11" t="s">
        <v>29</v>
      </c>
      <c r="L11" s="17">
        <v>1381407.561087</v>
      </c>
      <c r="M11" s="17">
        <f t="shared" si="0"/>
        <v>481857.81812957389</v>
      </c>
      <c r="N11" s="17">
        <f t="shared" si="1"/>
        <v>899549.742957426</v>
      </c>
    </row>
    <row r="12" spans="2:30" ht="14" customHeight="1" x14ac:dyDescent="0.35">
      <c r="B12" s="7"/>
      <c r="C12" s="8"/>
      <c r="D12" s="8"/>
      <c r="E12" s="8"/>
      <c r="F12" s="8"/>
      <c r="G12" s="8"/>
      <c r="H12" s="9"/>
      <c r="J12">
        <v>9</v>
      </c>
      <c r="K12" t="s">
        <v>30</v>
      </c>
      <c r="L12" s="17">
        <v>234989.12240507183</v>
      </c>
      <c r="M12" s="17">
        <f t="shared" si="0"/>
        <v>520602.90340213029</v>
      </c>
      <c r="N12" s="17">
        <f t="shared" si="1"/>
        <v>285613.78099705849</v>
      </c>
    </row>
    <row r="13" spans="2:30" ht="14" customHeight="1" x14ac:dyDescent="0.35">
      <c r="B13" s="7"/>
      <c r="C13" s="8"/>
      <c r="D13" s="8"/>
      <c r="E13" s="8"/>
      <c r="F13" s="8"/>
      <c r="G13" s="8"/>
      <c r="H13" s="9"/>
      <c r="J13">
        <v>10</v>
      </c>
      <c r="K13" t="s">
        <v>31</v>
      </c>
      <c r="L13" s="17">
        <v>65283.810096418427</v>
      </c>
      <c r="M13" s="17">
        <f t="shared" si="0"/>
        <v>559347.98867468676</v>
      </c>
      <c r="N13" s="17">
        <f t="shared" si="1"/>
        <v>494064.17857826833</v>
      </c>
    </row>
    <row r="14" spans="2:30" ht="14" customHeight="1" x14ac:dyDescent="0.35">
      <c r="B14" s="7"/>
      <c r="C14" s="8"/>
      <c r="D14" s="8"/>
      <c r="E14" s="8"/>
      <c r="F14" s="8"/>
      <c r="G14" s="8"/>
      <c r="H14" s="9"/>
      <c r="J14">
        <v>11</v>
      </c>
      <c r="K14" t="s">
        <v>32</v>
      </c>
      <c r="L14" s="17">
        <v>130810.18523888892</v>
      </c>
      <c r="M14" s="17">
        <f t="shared" si="0"/>
        <v>598093.07394724304</v>
      </c>
      <c r="N14" s="17">
        <f t="shared" si="1"/>
        <v>467282.88870835409</v>
      </c>
    </row>
    <row r="15" spans="2:30" ht="14" customHeight="1" x14ac:dyDescent="0.35">
      <c r="B15" s="7"/>
      <c r="C15" s="8"/>
      <c r="D15" s="8"/>
      <c r="E15" s="8"/>
      <c r="F15" s="8"/>
      <c r="G15" s="8"/>
      <c r="H15" s="9"/>
      <c r="J15">
        <v>12</v>
      </c>
      <c r="K15" t="s">
        <v>33</v>
      </c>
      <c r="L15" s="17">
        <v>1905045.7055257559</v>
      </c>
      <c r="M15" s="17">
        <f t="shared" si="0"/>
        <v>636838.15921979945</v>
      </c>
      <c r="N15" s="17">
        <f t="shared" si="1"/>
        <v>1268207.5463059563</v>
      </c>
    </row>
    <row r="16" spans="2:30" ht="14" customHeight="1" x14ac:dyDescent="0.35">
      <c r="B16" s="7"/>
      <c r="C16" s="8"/>
      <c r="D16" s="8"/>
      <c r="E16" s="8"/>
      <c r="F16" s="8"/>
      <c r="G16" s="8"/>
      <c r="H16" s="9"/>
      <c r="J16">
        <v>13</v>
      </c>
      <c r="K16" t="s">
        <v>34</v>
      </c>
      <c r="L16" s="17">
        <v>449347.66668781661</v>
      </c>
      <c r="M16" s="17">
        <f t="shared" si="0"/>
        <v>675583.24449235585</v>
      </c>
      <c r="N16" s="17">
        <f t="shared" si="1"/>
        <v>226235.57780453924</v>
      </c>
    </row>
    <row r="17" spans="2:22" ht="14" customHeight="1" x14ac:dyDescent="0.35">
      <c r="B17" s="7"/>
      <c r="C17" s="8"/>
      <c r="D17" s="8"/>
      <c r="E17" s="8"/>
      <c r="F17" s="8"/>
      <c r="G17" s="8"/>
      <c r="H17" s="9"/>
      <c r="J17">
        <v>14</v>
      </c>
      <c r="K17" t="s">
        <v>35</v>
      </c>
      <c r="L17" s="17">
        <v>426973.78122560366</v>
      </c>
      <c r="M17" s="17">
        <f t="shared" si="0"/>
        <v>714328.32976491214</v>
      </c>
      <c r="N17" s="17">
        <f t="shared" si="1"/>
        <v>287354.54853930848</v>
      </c>
    </row>
    <row r="18" spans="2:22" ht="14" customHeight="1" x14ac:dyDescent="0.35">
      <c r="B18" s="7"/>
      <c r="C18" s="8"/>
      <c r="D18" s="8"/>
      <c r="E18" s="8"/>
      <c r="F18" s="8"/>
      <c r="G18" s="8"/>
      <c r="H18" s="9"/>
      <c r="J18">
        <v>15</v>
      </c>
      <c r="K18" t="s">
        <v>36</v>
      </c>
      <c r="L18" s="17">
        <v>774251.14242330764</v>
      </c>
      <c r="M18" s="17">
        <f t="shared" si="0"/>
        <v>753073.41503746854</v>
      </c>
      <c r="N18" s="17">
        <f t="shared" si="1"/>
        <v>21177.727385839098</v>
      </c>
    </row>
    <row r="19" spans="2:22" ht="14" customHeight="1" x14ac:dyDescent="0.35">
      <c r="B19" s="7"/>
      <c r="C19" s="8"/>
      <c r="D19" s="8"/>
      <c r="E19" s="8"/>
      <c r="F19" s="8"/>
      <c r="G19" s="8"/>
      <c r="H19" s="9"/>
      <c r="J19">
        <v>16</v>
      </c>
      <c r="K19" t="s">
        <v>37</v>
      </c>
      <c r="L19" s="17">
        <v>445586.95325720625</v>
      </c>
      <c r="M19" s="17">
        <f t="shared" si="0"/>
        <v>791818.50031002495</v>
      </c>
      <c r="N19" s="17">
        <f t="shared" si="1"/>
        <v>346231.5470528187</v>
      </c>
    </row>
    <row r="20" spans="2:22" ht="14" customHeight="1" x14ac:dyDescent="0.45">
      <c r="B20" s="7"/>
      <c r="C20" s="8"/>
      <c r="D20" s="8"/>
      <c r="E20" s="8"/>
      <c r="F20" s="8"/>
      <c r="G20" s="8"/>
      <c r="H20" s="9"/>
      <c r="J20">
        <v>17</v>
      </c>
      <c r="K20" t="s">
        <v>38</v>
      </c>
      <c r="L20" s="17">
        <v>252397.66153609121</v>
      </c>
      <c r="M20" s="17">
        <f t="shared" si="0"/>
        <v>830563.58558258135</v>
      </c>
      <c r="N20" s="17">
        <f t="shared" si="1"/>
        <v>578165.92404649011</v>
      </c>
      <c r="O20" s="3"/>
      <c r="P20" s="3"/>
      <c r="Q20" s="3"/>
      <c r="R20" s="3"/>
      <c r="S20" s="3"/>
      <c r="T20" s="2"/>
      <c r="U20" s="3"/>
      <c r="V20" s="3"/>
    </row>
    <row r="21" spans="2:22" ht="14" customHeight="1" x14ac:dyDescent="0.35">
      <c r="B21" s="7"/>
      <c r="C21" s="8"/>
      <c r="D21" s="8"/>
      <c r="E21" s="8"/>
      <c r="F21" s="8"/>
      <c r="G21" s="8"/>
      <c r="H21" s="9"/>
      <c r="J21">
        <v>18</v>
      </c>
      <c r="K21" t="s">
        <v>39</v>
      </c>
      <c r="L21" s="17">
        <v>1598646.6400996149</v>
      </c>
      <c r="M21" s="17">
        <f t="shared" si="0"/>
        <v>869308.67085513775</v>
      </c>
      <c r="N21" s="17">
        <f t="shared" si="1"/>
        <v>729337.96924447711</v>
      </c>
    </row>
    <row r="22" spans="2:22" ht="14" customHeight="1" x14ac:dyDescent="0.35">
      <c r="B22" s="7"/>
      <c r="C22" s="8"/>
      <c r="D22" s="8"/>
      <c r="E22" s="8"/>
      <c r="F22" s="8"/>
      <c r="G22" s="8"/>
      <c r="H22" s="9"/>
      <c r="J22">
        <v>19</v>
      </c>
      <c r="K22" t="s">
        <v>40</v>
      </c>
      <c r="L22" s="17">
        <v>408842.58542053361</v>
      </c>
      <c r="M22" s="17">
        <f t="shared" si="0"/>
        <v>908053.75612769416</v>
      </c>
      <c r="N22" s="17">
        <f t="shared" si="1"/>
        <v>499211.17070716055</v>
      </c>
    </row>
    <row r="23" spans="2:22" ht="14" customHeight="1" x14ac:dyDescent="0.35">
      <c r="B23" s="7"/>
      <c r="C23" s="8"/>
      <c r="D23" s="8"/>
      <c r="E23" s="8"/>
      <c r="F23" s="8"/>
      <c r="G23" s="8"/>
      <c r="H23" s="9"/>
      <c r="J23">
        <v>20</v>
      </c>
      <c r="K23" t="s">
        <v>41</v>
      </c>
      <c r="L23" s="17">
        <v>2329023.4264592025</v>
      </c>
      <c r="M23" s="17">
        <f t="shared" si="0"/>
        <v>946798.84140025056</v>
      </c>
      <c r="N23" s="17">
        <f t="shared" si="1"/>
        <v>1382224.585058952</v>
      </c>
    </row>
    <row r="24" spans="2:22" ht="14" customHeight="1" x14ac:dyDescent="0.35">
      <c r="B24" s="7"/>
      <c r="C24" s="8"/>
      <c r="D24" s="8"/>
      <c r="E24" s="8"/>
      <c r="F24" s="8"/>
      <c r="G24" s="8"/>
      <c r="H24" s="9"/>
      <c r="J24">
        <v>21</v>
      </c>
      <c r="K24" t="s">
        <v>42</v>
      </c>
      <c r="L24" s="17">
        <v>356866.32589210744</v>
      </c>
      <c r="M24" s="17">
        <f t="shared" si="0"/>
        <v>985543.92667280696</v>
      </c>
      <c r="N24" s="17">
        <f t="shared" si="1"/>
        <v>628677.60078069952</v>
      </c>
    </row>
    <row r="25" spans="2:22" ht="14" customHeight="1" x14ac:dyDescent="0.35">
      <c r="B25" s="7"/>
      <c r="C25" s="8"/>
      <c r="D25" s="8"/>
      <c r="E25" s="8"/>
      <c r="F25" s="8"/>
      <c r="G25" s="8"/>
      <c r="H25" s="9"/>
      <c r="J25">
        <v>22</v>
      </c>
      <c r="K25" t="s">
        <v>43</v>
      </c>
      <c r="L25" s="17">
        <v>1225000.0118695311</v>
      </c>
      <c r="M25" s="17">
        <f t="shared" si="0"/>
        <v>1024289.0119453634</v>
      </c>
      <c r="N25" s="17">
        <f t="shared" si="1"/>
        <v>200710.99992416776</v>
      </c>
    </row>
    <row r="26" spans="2:22" ht="14" customHeight="1" x14ac:dyDescent="0.35">
      <c r="B26" s="7"/>
      <c r="C26" s="8"/>
      <c r="D26" s="8"/>
      <c r="E26" s="8"/>
      <c r="F26" s="8"/>
      <c r="G26" s="8"/>
      <c r="H26" s="9"/>
      <c r="J26">
        <v>23</v>
      </c>
      <c r="K26" t="s">
        <v>44</v>
      </c>
      <c r="L26" s="17">
        <v>550165.27004080685</v>
      </c>
      <c r="M26" s="17">
        <f t="shared" si="0"/>
        <v>1063034.0972179198</v>
      </c>
      <c r="N26" s="17">
        <f t="shared" si="1"/>
        <v>512868.82717711292</v>
      </c>
    </row>
    <row r="27" spans="2:22" ht="14" customHeight="1" x14ac:dyDescent="0.35">
      <c r="B27" s="7"/>
      <c r="C27" s="8"/>
      <c r="D27" s="8"/>
      <c r="E27" s="8"/>
      <c r="F27" s="8"/>
      <c r="G27" s="8"/>
      <c r="H27" s="9"/>
      <c r="J27">
        <v>24</v>
      </c>
      <c r="K27" t="s">
        <v>45</v>
      </c>
      <c r="L27" s="17">
        <v>1331350.1264873333</v>
      </c>
      <c r="M27" s="17">
        <f t="shared" si="0"/>
        <v>1101779.1824904762</v>
      </c>
      <c r="N27" s="17">
        <f t="shared" si="1"/>
        <v>229570.94399685715</v>
      </c>
    </row>
    <row r="28" spans="2:22" ht="14" customHeight="1" x14ac:dyDescent="0.35">
      <c r="B28" s="7"/>
      <c r="C28" s="8"/>
      <c r="D28" s="8"/>
      <c r="E28" s="8"/>
      <c r="F28" s="8"/>
      <c r="G28" s="8"/>
      <c r="H28" s="9"/>
    </row>
    <row r="29" spans="2:22" ht="14" customHeight="1" x14ac:dyDescent="0.35">
      <c r="B29" s="7"/>
      <c r="C29" s="8"/>
      <c r="D29" s="8"/>
      <c r="E29" s="8"/>
      <c r="F29" s="8"/>
      <c r="G29" s="8"/>
      <c r="H29" s="9"/>
      <c r="K29" t="s">
        <v>10</v>
      </c>
      <c r="L29" s="17">
        <f>INTERCEPT(L4:L27,J4:J27)</f>
        <v>171897.13594912278</v>
      </c>
    </row>
    <row r="30" spans="2:22" ht="14" customHeight="1" x14ac:dyDescent="0.35">
      <c r="B30" s="7"/>
      <c r="C30" s="8"/>
      <c r="D30" s="8"/>
      <c r="E30" s="8"/>
      <c r="F30" s="8"/>
      <c r="G30" s="8"/>
      <c r="H30" s="9"/>
      <c r="K30" t="s">
        <v>11</v>
      </c>
      <c r="L30" s="17">
        <f>SLOPE(L4:L27,J4:J27)</f>
        <v>38745.085272556389</v>
      </c>
    </row>
    <row r="31" spans="2:22" ht="14" customHeight="1" x14ac:dyDescent="0.35">
      <c r="B31" s="7"/>
      <c r="C31" s="8"/>
      <c r="D31" s="8"/>
      <c r="E31" s="8"/>
      <c r="F31" s="8"/>
      <c r="G31" s="8"/>
      <c r="H31" s="9"/>
      <c r="K31" t="s">
        <v>16</v>
      </c>
      <c r="L31" s="17">
        <f>AVERAGE(N4:N27)</f>
        <v>441736.61502835905</v>
      </c>
    </row>
    <row r="32" spans="2:22" ht="14" customHeight="1" x14ac:dyDescent="0.35">
      <c r="B32" s="7"/>
      <c r="C32" s="8"/>
      <c r="D32" s="8"/>
      <c r="E32" s="8"/>
      <c r="F32" s="8"/>
      <c r="G32" s="8"/>
      <c r="H32" s="9"/>
      <c r="K32" t="s">
        <v>6</v>
      </c>
      <c r="L32" s="19">
        <f>RSQ(M4:M27,L4:L27)</f>
        <v>0.18779468113740022</v>
      </c>
    </row>
    <row r="33" spans="2:14" ht="14" customHeight="1" x14ac:dyDescent="0.35">
      <c r="B33" s="7"/>
      <c r="C33" s="8"/>
      <c r="D33" s="8"/>
      <c r="E33" s="8"/>
      <c r="F33" s="8"/>
      <c r="G33" s="8"/>
      <c r="H33" s="9"/>
    </row>
    <row r="34" spans="2:14" ht="14" customHeight="1" x14ac:dyDescent="0.35">
      <c r="B34" s="7"/>
      <c r="C34" s="8"/>
      <c r="D34" s="8"/>
      <c r="E34" s="8"/>
      <c r="F34" s="8"/>
      <c r="G34" s="8"/>
      <c r="H34" s="9"/>
    </row>
    <row r="35" spans="2:14" ht="14" customHeight="1" x14ac:dyDescent="0.35">
      <c r="B35" s="7"/>
      <c r="C35" s="8"/>
      <c r="D35" s="8"/>
      <c r="E35" s="8"/>
      <c r="F35" s="8"/>
      <c r="G35" s="8"/>
      <c r="H35" s="9"/>
    </row>
    <row r="36" spans="2:14" ht="14" customHeight="1" x14ac:dyDescent="0.35">
      <c r="B36" s="7"/>
      <c r="C36" s="8"/>
      <c r="D36" s="8"/>
      <c r="E36" s="8"/>
      <c r="F36" s="8"/>
      <c r="G36" s="8"/>
      <c r="H36" s="9"/>
    </row>
    <row r="37" spans="2:14" s="1" customFormat="1" ht="14" customHeight="1" x14ac:dyDescent="0.35">
      <c r="B37" s="10" t="s">
        <v>5</v>
      </c>
      <c r="C37" s="11"/>
      <c r="D37" s="11"/>
      <c r="E37" s="11"/>
      <c r="F37" s="11"/>
      <c r="G37" s="11"/>
      <c r="H37" s="12"/>
      <c r="L37" s="18"/>
      <c r="M37" s="18"/>
      <c r="N37" s="18"/>
    </row>
    <row r="38" spans="2:14" ht="14" customHeight="1" thickBot="1" x14ac:dyDescent="0.4">
      <c r="B38" s="13"/>
      <c r="C38" s="14"/>
      <c r="D38" s="14"/>
      <c r="E38" s="14"/>
      <c r="F38" s="14"/>
      <c r="G38" s="14"/>
      <c r="H38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ACD5-EE15-43F6-908F-FF2157F2F821}">
  <dimension ref="B1:AD38"/>
  <sheetViews>
    <sheetView zoomScale="60" zoomScaleNormal="60" workbookViewId="0"/>
  </sheetViews>
  <sheetFormatPr defaultRowHeight="14" customHeight="1" x14ac:dyDescent="0.35"/>
  <cols>
    <col min="1" max="1" width="2.81640625" customWidth="1"/>
    <col min="9" max="9" width="1.81640625" customWidth="1"/>
    <col min="10" max="10" width="3.1796875" customWidth="1"/>
    <col min="12" max="14" width="11.453125" style="17" customWidth="1"/>
  </cols>
  <sheetData>
    <row r="1" spans="2:30" s="3" customFormat="1" ht="19" thickBot="1" x14ac:dyDescent="0.5">
      <c r="K1" s="2" t="s">
        <v>2</v>
      </c>
      <c r="L1" s="16"/>
      <c r="M1" s="16"/>
      <c r="N1" s="16"/>
      <c r="T1" s="2"/>
    </row>
    <row r="2" spans="2:30" ht="14" customHeight="1" x14ac:dyDescent="0.35">
      <c r="B2" s="4"/>
      <c r="C2" s="5"/>
      <c r="D2" s="5"/>
      <c r="E2" s="5"/>
      <c r="F2" s="5"/>
      <c r="G2" s="5"/>
      <c r="H2" s="6"/>
    </row>
    <row r="3" spans="2:30" ht="14" customHeight="1" x14ac:dyDescent="0.35">
      <c r="B3" s="7"/>
      <c r="C3" s="8"/>
      <c r="D3" s="8"/>
      <c r="E3" s="8"/>
      <c r="F3" s="8"/>
      <c r="G3" s="8"/>
      <c r="H3" s="9"/>
      <c r="J3" t="s">
        <v>7</v>
      </c>
      <c r="K3" t="s">
        <v>20</v>
      </c>
      <c r="L3" s="17" t="s">
        <v>21</v>
      </c>
      <c r="M3" s="17" t="s">
        <v>8</v>
      </c>
      <c r="N3" s="17" t="s">
        <v>9</v>
      </c>
      <c r="AD3" t="str">
        <f>K1&amp;", "&amp;"std err = "&amp;ROUND(L31,0)&amp;", "&amp;"rsq = "&amp;ROUND(L32,2)</f>
        <v>POWER, std err = 410089, rsq = 0.18</v>
      </c>
    </row>
    <row r="4" spans="2:30" ht="14" customHeight="1" x14ac:dyDescent="0.35">
      <c r="B4" s="7"/>
      <c r="C4" s="8"/>
      <c r="D4" s="8"/>
      <c r="E4" s="8"/>
      <c r="F4" s="8"/>
      <c r="G4" s="8"/>
      <c r="H4" s="9"/>
      <c r="J4">
        <v>1</v>
      </c>
      <c r="K4" t="s">
        <v>22</v>
      </c>
      <c r="L4" s="17">
        <v>87952.607231040398</v>
      </c>
      <c r="M4" s="17">
        <f t="shared" ref="M4:M27" si="0">L$29*J4^L$30</f>
        <v>114764.62937318919</v>
      </c>
      <c r="N4" s="17">
        <f>SQRT((M4-L4)^2)</f>
        <v>26812.022142148795</v>
      </c>
    </row>
    <row r="5" spans="2:30" ht="14" customHeight="1" x14ac:dyDescent="0.35">
      <c r="B5" s="7"/>
      <c r="C5" s="8"/>
      <c r="D5" s="8"/>
      <c r="E5" s="8"/>
      <c r="F5" s="8"/>
      <c r="G5" s="8"/>
      <c r="H5" s="9"/>
      <c r="J5">
        <v>2</v>
      </c>
      <c r="K5" t="s">
        <v>23</v>
      </c>
      <c r="L5" s="17">
        <v>727950.47150734137</v>
      </c>
      <c r="M5" s="17">
        <f t="shared" si="0"/>
        <v>169442.8670366224</v>
      </c>
      <c r="N5" s="17">
        <f t="shared" ref="N5:N27" si="1">SQRT((M5-L5)^2)</f>
        <v>558507.604470719</v>
      </c>
    </row>
    <row r="6" spans="2:30" ht="14" customHeight="1" x14ac:dyDescent="0.35">
      <c r="B6" s="7"/>
      <c r="C6" s="8"/>
      <c r="D6" s="8"/>
      <c r="E6" s="8"/>
      <c r="F6" s="8"/>
      <c r="G6" s="8"/>
      <c r="H6" s="9"/>
      <c r="J6">
        <v>3</v>
      </c>
      <c r="K6" t="s">
        <v>24</v>
      </c>
      <c r="L6" s="17">
        <v>379629.09222031938</v>
      </c>
      <c r="M6" s="17">
        <f t="shared" si="0"/>
        <v>212817.75472066406</v>
      </c>
      <c r="N6" s="17">
        <f t="shared" si="1"/>
        <v>166811.33749965532</v>
      </c>
    </row>
    <row r="7" spans="2:30" ht="14" customHeight="1" x14ac:dyDescent="0.35">
      <c r="B7" s="7"/>
      <c r="C7" s="8"/>
      <c r="D7" s="8"/>
      <c r="E7" s="8"/>
      <c r="F7" s="8"/>
      <c r="G7" s="8"/>
      <c r="H7" s="9"/>
      <c r="J7">
        <v>4</v>
      </c>
      <c r="K7" t="s">
        <v>25</v>
      </c>
      <c r="L7" s="17">
        <v>240830.13923244458</v>
      </c>
      <c r="M7" s="17">
        <f t="shared" si="0"/>
        <v>250171.89831397482</v>
      </c>
      <c r="N7" s="17">
        <f t="shared" si="1"/>
        <v>9341.7590815302392</v>
      </c>
    </row>
    <row r="8" spans="2:30" ht="14" customHeight="1" x14ac:dyDescent="0.35">
      <c r="B8" s="7"/>
      <c r="C8" s="8"/>
      <c r="D8" s="8"/>
      <c r="E8" s="8"/>
      <c r="F8" s="8"/>
      <c r="G8" s="8"/>
      <c r="H8" s="9"/>
      <c r="J8">
        <v>5</v>
      </c>
      <c r="K8" t="s">
        <v>26</v>
      </c>
      <c r="L8" s="17">
        <v>135238.02977699981</v>
      </c>
      <c r="M8" s="17">
        <f t="shared" si="0"/>
        <v>283604.85520065314</v>
      </c>
      <c r="N8" s="17">
        <f t="shared" si="1"/>
        <v>148366.82542365332</v>
      </c>
    </row>
    <row r="9" spans="2:30" ht="14" customHeight="1" x14ac:dyDescent="0.35">
      <c r="B9" s="7"/>
      <c r="C9" s="8"/>
      <c r="D9" s="8"/>
      <c r="E9" s="8"/>
      <c r="F9" s="8"/>
      <c r="G9" s="8"/>
      <c r="H9" s="9"/>
      <c r="J9">
        <v>6</v>
      </c>
      <c r="K9" t="s">
        <v>27</v>
      </c>
      <c r="L9" s="17">
        <v>228519.57362326788</v>
      </c>
      <c r="M9" s="17">
        <f t="shared" si="0"/>
        <v>314212.23344786296</v>
      </c>
      <c r="N9" s="17">
        <f t="shared" si="1"/>
        <v>85692.659824595088</v>
      </c>
    </row>
    <row r="10" spans="2:30" ht="14" customHeight="1" x14ac:dyDescent="0.35">
      <c r="B10" s="7"/>
      <c r="C10" s="8"/>
      <c r="D10" s="8"/>
      <c r="E10" s="8"/>
      <c r="F10" s="8"/>
      <c r="G10" s="8"/>
      <c r="H10" s="9"/>
      <c r="J10">
        <v>7</v>
      </c>
      <c r="K10" t="s">
        <v>28</v>
      </c>
      <c r="L10" s="17">
        <v>82948.955202161422</v>
      </c>
      <c r="M10" s="17">
        <f t="shared" si="0"/>
        <v>342653.58113606938</v>
      </c>
      <c r="N10" s="17">
        <f t="shared" si="1"/>
        <v>259704.62593390796</v>
      </c>
    </row>
    <row r="11" spans="2:30" ht="14" customHeight="1" x14ac:dyDescent="0.35">
      <c r="B11" s="7"/>
      <c r="C11" s="8"/>
      <c r="D11" s="8"/>
      <c r="E11" s="8"/>
      <c r="F11" s="8"/>
      <c r="G11" s="8"/>
      <c r="H11" s="9"/>
      <c r="J11">
        <v>8</v>
      </c>
      <c r="K11" t="s">
        <v>29</v>
      </c>
      <c r="L11" s="17">
        <v>1381407.561087</v>
      </c>
      <c r="M11" s="17">
        <f t="shared" si="0"/>
        <v>369363.31284155376</v>
      </c>
      <c r="N11" s="17">
        <f t="shared" si="1"/>
        <v>1012044.2482454462</v>
      </c>
    </row>
    <row r="12" spans="2:30" ht="14" customHeight="1" x14ac:dyDescent="0.35">
      <c r="B12" s="7"/>
      <c r="C12" s="8"/>
      <c r="D12" s="8"/>
      <c r="E12" s="8"/>
      <c r="F12" s="8"/>
      <c r="G12" s="8"/>
      <c r="H12" s="9"/>
      <c r="J12">
        <v>9</v>
      </c>
      <c r="K12" t="s">
        <v>30</v>
      </c>
      <c r="L12" s="17">
        <v>234989.12240507183</v>
      </c>
      <c r="M12" s="17">
        <f t="shared" si="0"/>
        <v>394645.95469626028</v>
      </c>
      <c r="N12" s="17">
        <f t="shared" si="1"/>
        <v>159656.83229118845</v>
      </c>
    </row>
    <row r="13" spans="2:30" ht="14" customHeight="1" x14ac:dyDescent="0.35">
      <c r="B13" s="7"/>
      <c r="C13" s="8"/>
      <c r="D13" s="8"/>
      <c r="E13" s="8"/>
      <c r="F13" s="8"/>
      <c r="G13" s="8"/>
      <c r="H13" s="9"/>
      <c r="J13">
        <v>10</v>
      </c>
      <c r="K13" t="s">
        <v>31</v>
      </c>
      <c r="L13" s="17">
        <v>65283.810096418427</v>
      </c>
      <c r="M13" s="17">
        <f t="shared" si="0"/>
        <v>418725.00293135765</v>
      </c>
      <c r="N13" s="17">
        <f t="shared" si="1"/>
        <v>353441.19283493923</v>
      </c>
    </row>
    <row r="14" spans="2:30" ht="14" customHeight="1" x14ac:dyDescent="0.35">
      <c r="B14" s="7"/>
      <c r="C14" s="8"/>
      <c r="D14" s="8"/>
      <c r="E14" s="8"/>
      <c r="F14" s="8"/>
      <c r="G14" s="8"/>
      <c r="H14" s="9"/>
      <c r="J14">
        <v>11</v>
      </c>
      <c r="K14" t="s">
        <v>32</v>
      </c>
      <c r="L14" s="17">
        <v>130810.18523888892</v>
      </c>
      <c r="M14" s="17">
        <f t="shared" si="0"/>
        <v>441770.371151008</v>
      </c>
      <c r="N14" s="17">
        <f t="shared" si="1"/>
        <v>310960.18591211911</v>
      </c>
    </row>
    <row r="15" spans="2:30" ht="14" customHeight="1" x14ac:dyDescent="0.35">
      <c r="B15" s="7"/>
      <c r="C15" s="8"/>
      <c r="D15" s="8"/>
      <c r="E15" s="8"/>
      <c r="F15" s="8"/>
      <c r="G15" s="8"/>
      <c r="H15" s="9"/>
      <c r="J15">
        <v>12</v>
      </c>
      <c r="K15" t="s">
        <v>33</v>
      </c>
      <c r="L15" s="17">
        <v>1905045.7055257559</v>
      </c>
      <c r="M15" s="17">
        <f t="shared" si="0"/>
        <v>463914.90116923029</v>
      </c>
      <c r="N15" s="17">
        <f t="shared" si="1"/>
        <v>1441130.8043565257</v>
      </c>
    </row>
    <row r="16" spans="2:30" ht="14" customHeight="1" x14ac:dyDescent="0.35">
      <c r="B16" s="7"/>
      <c r="C16" s="8"/>
      <c r="D16" s="8"/>
      <c r="E16" s="8"/>
      <c r="F16" s="8"/>
      <c r="G16" s="8"/>
      <c r="H16" s="9"/>
      <c r="J16">
        <v>13</v>
      </c>
      <c r="K16" t="s">
        <v>34</v>
      </c>
      <c r="L16" s="17">
        <v>449347.66668781661</v>
      </c>
      <c r="M16" s="17">
        <f t="shared" si="0"/>
        <v>485264.84132691217</v>
      </c>
      <c r="N16" s="17">
        <f t="shared" si="1"/>
        <v>35917.174639095552</v>
      </c>
    </row>
    <row r="17" spans="2:19" ht="14" customHeight="1" x14ac:dyDescent="0.35">
      <c r="B17" s="7"/>
      <c r="C17" s="8"/>
      <c r="D17" s="8"/>
      <c r="E17" s="8"/>
      <c r="F17" s="8"/>
      <c r="G17" s="8"/>
      <c r="H17" s="9"/>
      <c r="J17">
        <v>14</v>
      </c>
      <c r="K17" t="s">
        <v>35</v>
      </c>
      <c r="L17" s="17">
        <v>426973.78122560366</v>
      </c>
      <c r="M17" s="17">
        <f t="shared" si="0"/>
        <v>505906.78944522672</v>
      </c>
      <c r="N17" s="17">
        <f t="shared" si="1"/>
        <v>78933.008219623065</v>
      </c>
    </row>
    <row r="18" spans="2:19" ht="14" customHeight="1" x14ac:dyDescent="0.35">
      <c r="B18" s="7"/>
      <c r="C18" s="8"/>
      <c r="D18" s="8"/>
      <c r="E18" s="8"/>
      <c r="F18" s="8"/>
      <c r="G18" s="8"/>
      <c r="H18" s="9"/>
      <c r="J18">
        <v>15</v>
      </c>
      <c r="K18" t="s">
        <v>36</v>
      </c>
      <c r="L18" s="17">
        <v>774251.14242330764</v>
      </c>
      <c r="M18" s="17">
        <f t="shared" si="0"/>
        <v>525912.45962566743</v>
      </c>
      <c r="N18" s="17">
        <f t="shared" si="1"/>
        <v>248338.68279764021</v>
      </c>
    </row>
    <row r="19" spans="2:19" ht="14" customHeight="1" x14ac:dyDescent="0.45">
      <c r="B19" s="7"/>
      <c r="C19" s="8"/>
      <c r="D19" s="8"/>
      <c r="E19" s="8"/>
      <c r="F19" s="8"/>
      <c r="G19" s="8"/>
      <c r="H19" s="9"/>
      <c r="J19">
        <v>16</v>
      </c>
      <c r="K19" t="s">
        <v>37</v>
      </c>
      <c r="L19" s="17">
        <v>445586.95325720625</v>
      </c>
      <c r="M19" s="17">
        <f t="shared" si="0"/>
        <v>545342.05397467886</v>
      </c>
      <c r="N19" s="17">
        <f t="shared" si="1"/>
        <v>99755.100717472611</v>
      </c>
      <c r="P19" s="3"/>
      <c r="Q19" s="3"/>
      <c r="R19" s="3"/>
      <c r="S19" s="3"/>
    </row>
    <row r="20" spans="2:19" ht="14" customHeight="1" x14ac:dyDescent="0.45">
      <c r="B20" s="7"/>
      <c r="C20" s="8"/>
      <c r="D20" s="8"/>
      <c r="E20" s="8"/>
      <c r="F20" s="8"/>
      <c r="G20" s="8"/>
      <c r="H20" s="9"/>
      <c r="J20">
        <v>17</v>
      </c>
      <c r="K20" t="s">
        <v>38</v>
      </c>
      <c r="L20" s="17">
        <v>252397.66153609121</v>
      </c>
      <c r="M20" s="17">
        <f t="shared" si="0"/>
        <v>564246.70882416109</v>
      </c>
      <c r="N20" s="17">
        <f t="shared" si="1"/>
        <v>311849.04728806985</v>
      </c>
      <c r="O20" s="3"/>
    </row>
    <row r="21" spans="2:19" ht="14" customHeight="1" x14ac:dyDescent="0.35">
      <c r="B21" s="7"/>
      <c r="C21" s="8"/>
      <c r="D21" s="8"/>
      <c r="E21" s="8"/>
      <c r="F21" s="8"/>
      <c r="G21" s="8"/>
      <c r="H21" s="9"/>
      <c r="J21">
        <v>18</v>
      </c>
      <c r="K21" t="s">
        <v>39</v>
      </c>
      <c r="L21" s="17">
        <v>1598646.6400996149</v>
      </c>
      <c r="M21" s="17">
        <f t="shared" si="0"/>
        <v>582670.30872981832</v>
      </c>
      <c r="N21" s="17">
        <f t="shared" si="1"/>
        <v>1015976.3313697965</v>
      </c>
    </row>
    <row r="22" spans="2:19" ht="14" customHeight="1" x14ac:dyDescent="0.35">
      <c r="B22" s="7"/>
      <c r="C22" s="8"/>
      <c r="D22" s="8"/>
      <c r="E22" s="8"/>
      <c r="F22" s="8"/>
      <c r="G22" s="8"/>
      <c r="H22" s="9"/>
      <c r="J22">
        <v>19</v>
      </c>
      <c r="K22" t="s">
        <v>40</v>
      </c>
      <c r="L22" s="17">
        <v>408842.58542053361</v>
      </c>
      <c r="M22" s="17">
        <f t="shared" si="0"/>
        <v>600650.85751882545</v>
      </c>
      <c r="N22" s="17">
        <f t="shared" si="1"/>
        <v>191808.27209829184</v>
      </c>
    </row>
    <row r="23" spans="2:19" ht="14" customHeight="1" x14ac:dyDescent="0.35">
      <c r="B23" s="7"/>
      <c r="C23" s="8"/>
      <c r="D23" s="8"/>
      <c r="E23" s="8"/>
      <c r="F23" s="8"/>
      <c r="G23" s="8"/>
      <c r="H23" s="9"/>
      <c r="J23">
        <v>20</v>
      </c>
      <c r="K23" t="s">
        <v>41</v>
      </c>
      <c r="L23" s="17">
        <v>2329023.4264592025</v>
      </c>
      <c r="M23" s="17">
        <f t="shared" si="0"/>
        <v>618221.53205317073</v>
      </c>
      <c r="N23" s="17">
        <f t="shared" si="1"/>
        <v>1710801.8944060318</v>
      </c>
    </row>
    <row r="24" spans="2:19" ht="14" customHeight="1" x14ac:dyDescent="0.35">
      <c r="B24" s="7"/>
      <c r="C24" s="8"/>
      <c r="D24" s="8"/>
      <c r="E24" s="8"/>
      <c r="F24" s="8"/>
      <c r="G24" s="8"/>
      <c r="H24" s="9"/>
      <c r="J24">
        <v>21</v>
      </c>
      <c r="K24" t="s">
        <v>42</v>
      </c>
      <c r="L24" s="17">
        <v>356866.32589210744</v>
      </c>
      <c r="M24" s="17">
        <f t="shared" si="0"/>
        <v>635411.50424704864</v>
      </c>
      <c r="N24" s="17">
        <f t="shared" si="1"/>
        <v>278545.17835494119</v>
      </c>
    </row>
    <row r="25" spans="2:19" ht="14" customHeight="1" x14ac:dyDescent="0.35">
      <c r="B25" s="7"/>
      <c r="C25" s="8"/>
      <c r="D25" s="8"/>
      <c r="E25" s="8"/>
      <c r="F25" s="8"/>
      <c r="G25" s="8"/>
      <c r="H25" s="9"/>
      <c r="J25">
        <v>22</v>
      </c>
      <c r="K25" t="s">
        <v>43</v>
      </c>
      <c r="L25" s="17">
        <v>1225000.0118695311</v>
      </c>
      <c r="M25" s="17">
        <f t="shared" si="0"/>
        <v>652246.5908572597</v>
      </c>
      <c r="N25" s="17">
        <f t="shared" si="1"/>
        <v>572753.42101227143</v>
      </c>
    </row>
    <row r="26" spans="2:19" ht="14" customHeight="1" x14ac:dyDescent="0.35">
      <c r="B26" s="7"/>
      <c r="C26" s="8"/>
      <c r="D26" s="8"/>
      <c r="E26" s="8"/>
      <c r="F26" s="8"/>
      <c r="G26" s="8"/>
      <c r="H26" s="9"/>
      <c r="J26">
        <v>23</v>
      </c>
      <c r="K26" t="s">
        <v>44</v>
      </c>
      <c r="L26" s="17">
        <v>550165.27004080685</v>
      </c>
      <c r="M26" s="17">
        <f t="shared" si="0"/>
        <v>668749.77327998623</v>
      </c>
      <c r="N26" s="17">
        <f t="shared" si="1"/>
        <v>118584.50323917938</v>
      </c>
    </row>
    <row r="27" spans="2:19" ht="14" customHeight="1" x14ac:dyDescent="0.35">
      <c r="B27" s="7"/>
      <c r="C27" s="8"/>
      <c r="D27" s="8"/>
      <c r="E27" s="8"/>
      <c r="F27" s="8"/>
      <c r="G27" s="8"/>
      <c r="H27" s="9"/>
      <c r="J27">
        <v>24</v>
      </c>
      <c r="K27" t="s">
        <v>45</v>
      </c>
      <c r="L27" s="17">
        <v>1331350.1264873333</v>
      </c>
      <c r="M27" s="17">
        <f t="shared" si="0"/>
        <v>684941.6178525954</v>
      </c>
      <c r="N27" s="17">
        <f t="shared" si="1"/>
        <v>646408.50863473793</v>
      </c>
    </row>
    <row r="28" spans="2:19" ht="14" customHeight="1" x14ac:dyDescent="0.35">
      <c r="B28" s="7"/>
      <c r="C28" s="8"/>
      <c r="D28" s="8"/>
      <c r="E28" s="8"/>
      <c r="F28" s="8"/>
      <c r="G28" s="8"/>
      <c r="H28" s="9"/>
    </row>
    <row r="29" spans="2:19" ht="14" customHeight="1" x14ac:dyDescent="0.35">
      <c r="B29" s="7"/>
      <c r="C29" s="8"/>
      <c r="D29" s="8"/>
      <c r="E29" s="8"/>
      <c r="F29" s="8"/>
      <c r="G29" s="8"/>
      <c r="H29" s="9"/>
      <c r="K29" t="s">
        <v>12</v>
      </c>
      <c r="L29" s="17" cm="1">
        <f t="array" ref="L29">EXP(INDEX(LINEST(LN(L4:L27),LN(J4:J27),TRUE,TRUE),1,2))</f>
        <v>114764.62937318919</v>
      </c>
    </row>
    <row r="30" spans="2:19" ht="14" customHeight="1" x14ac:dyDescent="0.35">
      <c r="B30" s="7"/>
      <c r="C30" s="8"/>
      <c r="D30" s="8"/>
      <c r="E30" s="8"/>
      <c r="F30" s="8"/>
      <c r="G30" s="8"/>
      <c r="H30" s="9"/>
      <c r="K30" t="s">
        <v>13</v>
      </c>
      <c r="L30" s="17" cm="1">
        <f t="array" ref="L30">_xlfn.SINGLE(INDEX(LINEST(LN(L4:L27),LN(J4:J27),TRUE,TRUE),1))</f>
        <v>0.56212083579356842</v>
      </c>
    </row>
    <row r="31" spans="2:19" ht="14" customHeight="1" x14ac:dyDescent="0.35">
      <c r="B31" s="7"/>
      <c r="C31" s="8"/>
      <c r="D31" s="8"/>
      <c r="E31" s="8"/>
      <c r="F31" s="8"/>
      <c r="G31" s="8"/>
      <c r="H31" s="9"/>
      <c r="K31" t="s">
        <v>16</v>
      </c>
      <c r="L31" s="17">
        <f>AVERAGE(N4:N27)</f>
        <v>410089.21753306588</v>
      </c>
    </row>
    <row r="32" spans="2:19" ht="14" customHeight="1" x14ac:dyDescent="0.35">
      <c r="B32" s="7"/>
      <c r="C32" s="8"/>
      <c r="D32" s="8"/>
      <c r="E32" s="8"/>
      <c r="F32" s="8"/>
      <c r="G32" s="8"/>
      <c r="H32" s="9"/>
      <c r="K32" t="s">
        <v>6</v>
      </c>
      <c r="L32" s="19">
        <f>RSQ(M4:M27,L4:L27)</f>
        <v>0.17724474119880598</v>
      </c>
    </row>
    <row r="33" spans="2:14" ht="14" customHeight="1" x14ac:dyDescent="0.35">
      <c r="B33" s="7"/>
      <c r="C33" s="8"/>
      <c r="D33" s="8"/>
      <c r="E33" s="8"/>
      <c r="F33" s="8"/>
      <c r="G33" s="8"/>
      <c r="H33" s="9"/>
    </row>
    <row r="34" spans="2:14" ht="14" customHeight="1" x14ac:dyDescent="0.35">
      <c r="B34" s="7"/>
      <c r="C34" s="8"/>
      <c r="D34" s="8"/>
      <c r="E34" s="8"/>
      <c r="F34" s="8"/>
      <c r="G34" s="8"/>
      <c r="H34" s="9"/>
    </row>
    <row r="35" spans="2:14" ht="14" customHeight="1" x14ac:dyDescent="0.35">
      <c r="B35" s="7"/>
      <c r="C35" s="8"/>
      <c r="D35" s="8"/>
      <c r="E35" s="8"/>
      <c r="F35" s="8"/>
      <c r="G35" s="8"/>
      <c r="H35" s="9"/>
    </row>
    <row r="36" spans="2:14" ht="14" customHeight="1" x14ac:dyDescent="0.35">
      <c r="B36" s="7"/>
      <c r="C36" s="8"/>
      <c r="D36" s="8"/>
      <c r="E36" s="8"/>
      <c r="F36" s="8"/>
      <c r="G36" s="8"/>
      <c r="H36" s="9"/>
    </row>
    <row r="37" spans="2:14" s="1" customFormat="1" ht="14" customHeight="1" x14ac:dyDescent="0.35">
      <c r="B37" s="10" t="s">
        <v>5</v>
      </c>
      <c r="C37" s="11"/>
      <c r="D37" s="11"/>
      <c r="E37" s="11"/>
      <c r="F37" s="11"/>
      <c r="G37" s="11"/>
      <c r="H37" s="12"/>
      <c r="L37" s="18"/>
      <c r="M37" s="18"/>
      <c r="N37" s="18"/>
    </row>
    <row r="38" spans="2:14" ht="14" customHeight="1" thickBot="1" x14ac:dyDescent="0.4">
      <c r="B38" s="13"/>
      <c r="C38" s="14"/>
      <c r="D38" s="14"/>
      <c r="E38" s="14"/>
      <c r="F38" s="14"/>
      <c r="G38" s="14"/>
      <c r="H38" s="1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5B57-B2E4-474B-9A5E-C57853AE189D}">
  <dimension ref="B1:AD38"/>
  <sheetViews>
    <sheetView zoomScale="60" zoomScaleNormal="60" workbookViewId="0"/>
  </sheetViews>
  <sheetFormatPr defaultRowHeight="14.5" x14ac:dyDescent="0.35"/>
  <cols>
    <col min="1" max="1" width="2.81640625" customWidth="1"/>
    <col min="9" max="9" width="1.81640625" customWidth="1"/>
    <col min="10" max="10" width="3.1796875" customWidth="1"/>
    <col min="12" max="14" width="11.453125" style="17" customWidth="1"/>
  </cols>
  <sheetData>
    <row r="1" spans="2:30" s="3" customFormat="1" ht="19" thickBot="1" x14ac:dyDescent="0.5">
      <c r="K1" s="2" t="s">
        <v>3</v>
      </c>
      <c r="L1" s="16"/>
      <c r="M1" s="16"/>
      <c r="N1" s="16"/>
      <c r="T1" s="2"/>
      <c r="AC1" s="2"/>
    </row>
    <row r="2" spans="2:30" x14ac:dyDescent="0.35">
      <c r="B2" s="4"/>
      <c r="C2" s="5"/>
      <c r="D2" s="5"/>
      <c r="E2" s="5"/>
      <c r="F2" s="5"/>
      <c r="G2" s="5"/>
      <c r="H2" s="6"/>
    </row>
    <row r="3" spans="2:30" x14ac:dyDescent="0.35">
      <c r="B3" s="7"/>
      <c r="C3" s="8"/>
      <c r="D3" s="8"/>
      <c r="E3" s="8"/>
      <c r="F3" s="8"/>
      <c r="G3" s="8"/>
      <c r="H3" s="9"/>
      <c r="J3" t="s">
        <v>7</v>
      </c>
      <c r="K3" t="s">
        <v>20</v>
      </c>
      <c r="L3" s="17" t="s">
        <v>21</v>
      </c>
      <c r="M3" s="17" t="s">
        <v>8</v>
      </c>
      <c r="N3" s="17" t="s">
        <v>9</v>
      </c>
      <c r="AD3" t="str">
        <f>K1&amp;", "&amp;"std err = "&amp;ROUND(L32,0)&amp;", "&amp;"rsq = "&amp;ROUND(L33,2)</f>
        <v>2ND ORDER POLY, std err = 436370, rsq = 0.19</v>
      </c>
    </row>
    <row r="4" spans="2:30" x14ac:dyDescent="0.35">
      <c r="B4" s="7"/>
      <c r="C4" s="8"/>
      <c r="D4" s="8"/>
      <c r="E4" s="8"/>
      <c r="F4" s="8"/>
      <c r="G4" s="8"/>
      <c r="H4" s="9"/>
      <c r="J4">
        <v>1</v>
      </c>
      <c r="K4" t="s">
        <v>22</v>
      </c>
      <c r="L4" s="17">
        <v>87952.607231040398</v>
      </c>
      <c r="M4" s="17">
        <f>(L$29*J4^2)+(L$30*J4)+L$31</f>
        <v>262369.00862821762</v>
      </c>
      <c r="N4" s="17">
        <f>SQRT((M4-L4)^2)</f>
        <v>174416.40139717722</v>
      </c>
    </row>
    <row r="5" spans="2:30" x14ac:dyDescent="0.35">
      <c r="B5" s="7"/>
      <c r="C5" s="8"/>
      <c r="D5" s="8"/>
      <c r="E5" s="8"/>
      <c r="F5" s="8"/>
      <c r="G5" s="8"/>
      <c r="H5" s="9"/>
      <c r="J5">
        <v>2</v>
      </c>
      <c r="K5" t="s">
        <v>23</v>
      </c>
      <c r="L5" s="17">
        <v>727950.47150734137</v>
      </c>
      <c r="M5" s="17">
        <f t="shared" ref="M5:M27" si="0">(L$29*J5^2)+(L$30*J5)+L$31</f>
        <v>287620.14935993787</v>
      </c>
      <c r="N5" s="17">
        <f t="shared" ref="N5:N27" si="1">SQRT((M5-L5)^2)</f>
        <v>440330.32214740349</v>
      </c>
    </row>
    <row r="6" spans="2:30" x14ac:dyDescent="0.35">
      <c r="B6" s="7"/>
      <c r="C6" s="8"/>
      <c r="D6" s="8"/>
      <c r="E6" s="8"/>
      <c r="F6" s="8"/>
      <c r="G6" s="8"/>
      <c r="H6" s="9"/>
      <c r="J6">
        <v>3</v>
      </c>
      <c r="K6" t="s">
        <v>24</v>
      </c>
      <c r="L6" s="17">
        <v>379629.09222031938</v>
      </c>
      <c r="M6" s="17">
        <f t="shared" si="0"/>
        <v>314098.01232264325</v>
      </c>
      <c r="N6" s="17">
        <f t="shared" si="1"/>
        <v>65531.079897676129</v>
      </c>
    </row>
    <row r="7" spans="2:30" x14ac:dyDescent="0.35">
      <c r="B7" s="7"/>
      <c r="C7" s="8"/>
      <c r="D7" s="8"/>
      <c r="E7" s="8"/>
      <c r="F7" s="8"/>
      <c r="G7" s="8"/>
      <c r="H7" s="9"/>
      <c r="J7">
        <v>4</v>
      </c>
      <c r="K7" t="s">
        <v>25</v>
      </c>
      <c r="L7" s="17">
        <v>240830.13923244458</v>
      </c>
      <c r="M7" s="17">
        <f t="shared" si="0"/>
        <v>341802.59751633374</v>
      </c>
      <c r="N7" s="17">
        <f t="shared" si="1"/>
        <v>100972.45828388917</v>
      </c>
    </row>
    <row r="8" spans="2:30" x14ac:dyDescent="0.35">
      <c r="B8" s="7"/>
      <c r="C8" s="8"/>
      <c r="D8" s="8"/>
      <c r="E8" s="8"/>
      <c r="F8" s="8"/>
      <c r="G8" s="8"/>
      <c r="H8" s="9"/>
      <c r="J8">
        <v>5</v>
      </c>
      <c r="K8" t="s">
        <v>26</v>
      </c>
      <c r="L8" s="17">
        <v>135238.02977699981</v>
      </c>
      <c r="M8" s="17">
        <f t="shared" si="0"/>
        <v>370733.90494100936</v>
      </c>
      <c r="N8" s="17">
        <f t="shared" si="1"/>
        <v>235495.87516400954</v>
      </c>
    </row>
    <row r="9" spans="2:30" x14ac:dyDescent="0.35">
      <c r="B9" s="7"/>
      <c r="C9" s="8"/>
      <c r="D9" s="8"/>
      <c r="E9" s="8"/>
      <c r="F9" s="8"/>
      <c r="G9" s="8"/>
      <c r="H9" s="9"/>
      <c r="J9">
        <v>6</v>
      </c>
      <c r="K9" t="s">
        <v>27</v>
      </c>
      <c r="L9" s="17">
        <v>228519.57362326788</v>
      </c>
      <c r="M9" s="17">
        <f t="shared" si="0"/>
        <v>400891.93459666998</v>
      </c>
      <c r="N9" s="17">
        <f t="shared" si="1"/>
        <v>172372.3609734021</v>
      </c>
    </row>
    <row r="10" spans="2:30" x14ac:dyDescent="0.35">
      <c r="B10" s="7"/>
      <c r="C10" s="8"/>
      <c r="D10" s="8"/>
      <c r="E10" s="8"/>
      <c r="F10" s="8"/>
      <c r="G10" s="8"/>
      <c r="H10" s="9"/>
      <c r="J10">
        <v>7</v>
      </c>
      <c r="K10" t="s">
        <v>28</v>
      </c>
      <c r="L10" s="17">
        <v>82948.955202161422</v>
      </c>
      <c r="M10" s="17">
        <f t="shared" si="0"/>
        <v>432276.68648331577</v>
      </c>
      <c r="N10" s="17">
        <f t="shared" si="1"/>
        <v>349327.73128115432</v>
      </c>
    </row>
    <row r="11" spans="2:30" x14ac:dyDescent="0.35">
      <c r="B11" s="7"/>
      <c r="C11" s="8"/>
      <c r="D11" s="8"/>
      <c r="E11" s="8"/>
      <c r="F11" s="8"/>
      <c r="G11" s="8"/>
      <c r="H11" s="9"/>
      <c r="J11">
        <v>8</v>
      </c>
      <c r="K11" t="s">
        <v>29</v>
      </c>
      <c r="L11" s="17">
        <v>1381407.561087</v>
      </c>
      <c r="M11" s="17">
        <f t="shared" si="0"/>
        <v>464888.16060094663</v>
      </c>
      <c r="N11" s="17">
        <f t="shared" si="1"/>
        <v>916519.40048605332</v>
      </c>
    </row>
    <row r="12" spans="2:30" x14ac:dyDescent="0.35">
      <c r="B12" s="7"/>
      <c r="C12" s="8"/>
      <c r="D12" s="8"/>
      <c r="E12" s="8"/>
      <c r="F12" s="8"/>
      <c r="G12" s="8"/>
      <c r="H12" s="9"/>
      <c r="J12">
        <v>9</v>
      </c>
      <c r="K12" t="s">
        <v>30</v>
      </c>
      <c r="L12" s="17">
        <v>234989.12240507183</v>
      </c>
      <c r="M12" s="17">
        <f t="shared" si="0"/>
        <v>498726.35694956261</v>
      </c>
      <c r="N12" s="17">
        <f t="shared" si="1"/>
        <v>263737.23454449081</v>
      </c>
    </row>
    <row r="13" spans="2:30" x14ac:dyDescent="0.35">
      <c r="B13" s="7"/>
      <c r="C13" s="8"/>
      <c r="D13" s="8"/>
      <c r="E13" s="8"/>
      <c r="F13" s="8"/>
      <c r="G13" s="8"/>
      <c r="H13" s="9"/>
      <c r="J13">
        <v>10</v>
      </c>
      <c r="K13" t="s">
        <v>31</v>
      </c>
      <c r="L13" s="17">
        <v>65283.810096418427</v>
      </c>
      <c r="M13" s="17">
        <f t="shared" si="0"/>
        <v>533791.27552916366</v>
      </c>
      <c r="N13" s="17">
        <f t="shared" si="1"/>
        <v>468507.46543274523</v>
      </c>
    </row>
    <row r="14" spans="2:30" x14ac:dyDescent="0.35">
      <c r="B14" s="7"/>
      <c r="C14" s="8"/>
      <c r="D14" s="8"/>
      <c r="E14" s="8"/>
      <c r="F14" s="8"/>
      <c r="G14" s="8"/>
      <c r="H14" s="9"/>
      <c r="J14">
        <v>11</v>
      </c>
      <c r="K14" t="s">
        <v>32</v>
      </c>
      <c r="L14" s="17">
        <v>130810.18523888892</v>
      </c>
      <c r="M14" s="17">
        <f t="shared" si="0"/>
        <v>570082.91633974994</v>
      </c>
      <c r="N14" s="17">
        <f t="shared" si="1"/>
        <v>439272.73110086098</v>
      </c>
    </row>
    <row r="15" spans="2:30" x14ac:dyDescent="0.35">
      <c r="B15" s="7"/>
      <c r="C15" s="8"/>
      <c r="D15" s="8"/>
      <c r="E15" s="8"/>
      <c r="F15" s="8"/>
      <c r="G15" s="8"/>
      <c r="H15" s="9"/>
      <c r="J15">
        <v>12</v>
      </c>
      <c r="K15" t="s">
        <v>33</v>
      </c>
      <c r="L15" s="17">
        <v>1905045.7055257559</v>
      </c>
      <c r="M15" s="17">
        <f t="shared" si="0"/>
        <v>607601.27938132116</v>
      </c>
      <c r="N15" s="17">
        <f t="shared" si="1"/>
        <v>1297444.4261444346</v>
      </c>
    </row>
    <row r="16" spans="2:30" x14ac:dyDescent="0.35">
      <c r="B16" s="7"/>
      <c r="C16" s="8"/>
      <c r="D16" s="8"/>
      <c r="E16" s="8"/>
      <c r="F16" s="8"/>
      <c r="G16" s="8"/>
      <c r="H16" s="9"/>
      <c r="J16">
        <v>13</v>
      </c>
      <c r="K16" t="s">
        <v>34</v>
      </c>
      <c r="L16" s="17">
        <v>449347.66668781661</v>
      </c>
      <c r="M16" s="17">
        <f t="shared" si="0"/>
        <v>646346.36465387756</v>
      </c>
      <c r="N16" s="17">
        <f t="shared" si="1"/>
        <v>196998.69796606095</v>
      </c>
    </row>
    <row r="17" spans="2:28" x14ac:dyDescent="0.35">
      <c r="B17" s="7"/>
      <c r="C17" s="8"/>
      <c r="D17" s="8"/>
      <c r="E17" s="8"/>
      <c r="F17" s="8"/>
      <c r="G17" s="8"/>
      <c r="H17" s="9"/>
      <c r="J17">
        <v>14</v>
      </c>
      <c r="K17" t="s">
        <v>35</v>
      </c>
      <c r="L17" s="17">
        <v>426973.78122560366</v>
      </c>
      <c r="M17" s="17">
        <f t="shared" si="0"/>
        <v>686318.17215741903</v>
      </c>
      <c r="N17" s="17">
        <f t="shared" si="1"/>
        <v>259344.39093181537</v>
      </c>
    </row>
    <row r="18" spans="2:28" x14ac:dyDescent="0.35">
      <c r="B18" s="7"/>
      <c r="C18" s="8"/>
      <c r="D18" s="8"/>
      <c r="E18" s="8"/>
      <c r="F18" s="8"/>
      <c r="G18" s="8"/>
      <c r="H18" s="9"/>
      <c r="J18">
        <v>15</v>
      </c>
      <c r="K18" t="s">
        <v>36</v>
      </c>
      <c r="L18" s="17">
        <v>774251.14242330764</v>
      </c>
      <c r="M18" s="17">
        <f t="shared" si="0"/>
        <v>727516.70189194568</v>
      </c>
      <c r="N18" s="17">
        <f t="shared" si="1"/>
        <v>46734.440531361965</v>
      </c>
    </row>
    <row r="19" spans="2:28" x14ac:dyDescent="0.35">
      <c r="B19" s="7"/>
      <c r="C19" s="8"/>
      <c r="D19" s="8"/>
      <c r="E19" s="8"/>
      <c r="F19" s="8"/>
      <c r="G19" s="8"/>
      <c r="H19" s="9"/>
      <c r="J19">
        <v>16</v>
      </c>
      <c r="K19" t="s">
        <v>37</v>
      </c>
      <c r="L19" s="17">
        <v>445586.95325720625</v>
      </c>
      <c r="M19" s="17">
        <f t="shared" si="0"/>
        <v>769941.95385745738</v>
      </c>
      <c r="N19" s="17">
        <f t="shared" si="1"/>
        <v>324355.00060025114</v>
      </c>
    </row>
    <row r="20" spans="2:28" ht="15" customHeight="1" x14ac:dyDescent="0.45">
      <c r="B20" s="7"/>
      <c r="C20" s="8"/>
      <c r="D20" s="8"/>
      <c r="E20" s="8"/>
      <c r="F20" s="8"/>
      <c r="G20" s="8"/>
      <c r="H20" s="9"/>
      <c r="J20">
        <v>17</v>
      </c>
      <c r="K20" t="s">
        <v>38</v>
      </c>
      <c r="L20" s="17">
        <v>252397.66153609121</v>
      </c>
      <c r="M20" s="17">
        <f t="shared" si="0"/>
        <v>813593.92805395403</v>
      </c>
      <c r="N20" s="17">
        <f t="shared" si="1"/>
        <v>561196.26651786279</v>
      </c>
      <c r="O20" s="3"/>
      <c r="P20" s="3"/>
      <c r="Q20" s="3"/>
      <c r="R20" s="3"/>
      <c r="S20" s="3"/>
      <c r="T20" s="2"/>
      <c r="U20" s="3"/>
      <c r="V20" s="3"/>
      <c r="W20" s="3"/>
      <c r="X20" s="3"/>
      <c r="Y20" s="3"/>
      <c r="Z20" s="3"/>
      <c r="AA20" s="3"/>
      <c r="AB20" s="3"/>
    </row>
    <row r="21" spans="2:28" x14ac:dyDescent="0.35">
      <c r="B21" s="7"/>
      <c r="C21" s="8"/>
      <c r="D21" s="8"/>
      <c r="E21" s="8"/>
      <c r="F21" s="8"/>
      <c r="G21" s="8"/>
      <c r="H21" s="9"/>
      <c r="J21">
        <v>18</v>
      </c>
      <c r="K21" t="s">
        <v>39</v>
      </c>
      <c r="L21" s="17">
        <v>1598646.6400996149</v>
      </c>
      <c r="M21" s="17">
        <f t="shared" si="0"/>
        <v>858472.62448143598</v>
      </c>
      <c r="N21" s="17">
        <f t="shared" si="1"/>
        <v>740174.01561817888</v>
      </c>
    </row>
    <row r="22" spans="2:28" x14ac:dyDescent="0.35">
      <c r="B22" s="7"/>
      <c r="C22" s="8"/>
      <c r="D22" s="8"/>
      <c r="E22" s="8"/>
      <c r="F22" s="8"/>
      <c r="G22" s="8"/>
      <c r="H22" s="9"/>
      <c r="J22">
        <v>19</v>
      </c>
      <c r="K22" t="s">
        <v>40</v>
      </c>
      <c r="L22" s="17">
        <v>408842.58542053361</v>
      </c>
      <c r="M22" s="17">
        <f t="shared" si="0"/>
        <v>904578.04313990299</v>
      </c>
      <c r="N22" s="17">
        <f t="shared" si="1"/>
        <v>495735.45771936938</v>
      </c>
    </row>
    <row r="23" spans="2:28" x14ac:dyDescent="0.35">
      <c r="B23" s="7"/>
      <c r="C23" s="8"/>
      <c r="D23" s="8"/>
      <c r="E23" s="8"/>
      <c r="F23" s="8"/>
      <c r="G23" s="8"/>
      <c r="H23" s="9"/>
      <c r="J23">
        <v>20</v>
      </c>
      <c r="K23" t="s">
        <v>41</v>
      </c>
      <c r="L23" s="17">
        <v>2329023.4264592025</v>
      </c>
      <c r="M23" s="17">
        <f t="shared" si="0"/>
        <v>951910.18402935506</v>
      </c>
      <c r="N23" s="17">
        <f t="shared" si="1"/>
        <v>1377113.2424298474</v>
      </c>
    </row>
    <row r="24" spans="2:28" x14ac:dyDescent="0.35">
      <c r="B24" s="7"/>
      <c r="C24" s="8"/>
      <c r="D24" s="8"/>
      <c r="E24" s="8"/>
      <c r="F24" s="8"/>
      <c r="G24" s="8"/>
      <c r="H24" s="9"/>
      <c r="J24">
        <v>21</v>
      </c>
      <c r="K24" t="s">
        <v>42</v>
      </c>
      <c r="L24" s="17">
        <v>356866.32589210744</v>
      </c>
      <c r="M24" s="17">
        <f t="shared" si="0"/>
        <v>1000469.0471497923</v>
      </c>
      <c r="N24" s="17">
        <f t="shared" si="1"/>
        <v>643602.72125768487</v>
      </c>
    </row>
    <row r="25" spans="2:28" x14ac:dyDescent="0.35">
      <c r="B25" s="7"/>
      <c r="C25" s="8"/>
      <c r="D25" s="8"/>
      <c r="E25" s="8"/>
      <c r="F25" s="8"/>
      <c r="G25" s="8"/>
      <c r="H25" s="9"/>
      <c r="J25">
        <v>22</v>
      </c>
      <c r="K25" t="s">
        <v>43</v>
      </c>
      <c r="L25" s="17">
        <v>1225000.0118695311</v>
      </c>
      <c r="M25" s="17">
        <f t="shared" si="0"/>
        <v>1050254.6325012147</v>
      </c>
      <c r="N25" s="17">
        <f t="shared" si="1"/>
        <v>174745.37936831638</v>
      </c>
    </row>
    <row r="26" spans="2:28" x14ac:dyDescent="0.35">
      <c r="B26" s="7"/>
      <c r="C26" s="8"/>
      <c r="D26" s="8"/>
      <c r="E26" s="8"/>
      <c r="F26" s="8"/>
      <c r="G26" s="8"/>
      <c r="H26" s="9"/>
      <c r="J26">
        <v>23</v>
      </c>
      <c r="K26" t="s">
        <v>44</v>
      </c>
      <c r="L26" s="17">
        <v>550165.27004080685</v>
      </c>
      <c r="M26" s="17">
        <f t="shared" si="0"/>
        <v>1101266.940083622</v>
      </c>
      <c r="N26" s="17">
        <f t="shared" si="1"/>
        <v>551101.67004281515</v>
      </c>
    </row>
    <row r="27" spans="2:28" x14ac:dyDescent="0.35">
      <c r="B27" s="7"/>
      <c r="C27" s="8"/>
      <c r="D27" s="8"/>
      <c r="E27" s="8"/>
      <c r="F27" s="8"/>
      <c r="G27" s="8"/>
      <c r="H27" s="9"/>
      <c r="J27">
        <v>24</v>
      </c>
      <c r="K27" t="s">
        <v>45</v>
      </c>
      <c r="L27" s="17">
        <v>1331350.1264873333</v>
      </c>
      <c r="M27" s="17">
        <f t="shared" si="0"/>
        <v>1153505.9698970146</v>
      </c>
      <c r="N27" s="17">
        <f t="shared" si="1"/>
        <v>177844.15659031877</v>
      </c>
    </row>
    <row r="28" spans="2:28" x14ac:dyDescent="0.35">
      <c r="B28" s="7"/>
      <c r="C28" s="8"/>
      <c r="D28" s="8"/>
      <c r="E28" s="8"/>
      <c r="F28" s="8"/>
      <c r="G28" s="8"/>
      <c r="H28" s="9"/>
    </row>
    <row r="29" spans="2:28" x14ac:dyDescent="0.35">
      <c r="B29" s="7"/>
      <c r="C29" s="8"/>
      <c r="D29" s="8"/>
      <c r="E29" s="8"/>
      <c r="F29" s="8"/>
      <c r="G29" s="8"/>
      <c r="H29" s="9"/>
      <c r="K29" t="s">
        <v>14</v>
      </c>
      <c r="L29" s="17" cm="1">
        <f t="array" ref="L29">INDEX(LINEST(L4:L27,J4:J27^{1,2}),1)</f>
        <v>613.36111549255088</v>
      </c>
    </row>
    <row r="30" spans="2:28" x14ac:dyDescent="0.35">
      <c r="B30" s="7"/>
      <c r="C30" s="8"/>
      <c r="D30" s="8"/>
      <c r="E30" s="8"/>
      <c r="F30" s="8"/>
      <c r="G30" s="8"/>
      <c r="H30" s="9"/>
      <c r="K30" t="s">
        <v>15</v>
      </c>
      <c r="L30" s="17" cm="1">
        <f t="array" ref="L30">INDEX(LINEST(L4:L27,J4:J27^{1,2}),1,2)</f>
        <v>23411.057385242617</v>
      </c>
    </row>
    <row r="31" spans="2:28" x14ac:dyDescent="0.35">
      <c r="B31" s="7"/>
      <c r="C31" s="8"/>
      <c r="D31" s="8"/>
      <c r="E31" s="8"/>
      <c r="F31" s="8"/>
      <c r="G31" s="8"/>
      <c r="H31" s="9"/>
      <c r="K31" t="s">
        <v>13</v>
      </c>
      <c r="L31" s="17" cm="1">
        <f t="array" ref="L31">INDEX(LINEST(L4:L27,J4:J27^{1,2}),1,3)</f>
        <v>238344.59012748246</v>
      </c>
    </row>
    <row r="32" spans="2:28" x14ac:dyDescent="0.35">
      <c r="B32" s="7"/>
      <c r="C32" s="8"/>
      <c r="D32" s="8"/>
      <c r="E32" s="8"/>
      <c r="F32" s="8"/>
      <c r="G32" s="8"/>
      <c r="H32" s="9"/>
      <c r="K32" t="s">
        <v>16</v>
      </c>
      <c r="L32" s="17">
        <f>AVERAGE(N4:N27)</f>
        <v>436369.70526779915</v>
      </c>
    </row>
    <row r="33" spans="2:14" x14ac:dyDescent="0.35">
      <c r="B33" s="7"/>
      <c r="C33" s="8"/>
      <c r="D33" s="8"/>
      <c r="E33" s="8"/>
      <c r="F33" s="8"/>
      <c r="G33" s="8"/>
      <c r="H33" s="9"/>
      <c r="K33" t="s">
        <v>6</v>
      </c>
      <c r="L33" s="19">
        <f>RSQ(M4:M27,L4:L27)</f>
        <v>0.18958936226324549</v>
      </c>
    </row>
    <row r="34" spans="2:14" x14ac:dyDescent="0.35">
      <c r="B34" s="7"/>
      <c r="C34" s="8"/>
      <c r="D34" s="8"/>
      <c r="E34" s="8"/>
      <c r="F34" s="8"/>
      <c r="G34" s="8"/>
      <c r="H34" s="9"/>
    </row>
    <row r="35" spans="2:14" x14ac:dyDescent="0.35">
      <c r="B35" s="7"/>
      <c r="C35" s="8"/>
      <c r="D35" s="8"/>
      <c r="E35" s="8"/>
      <c r="F35" s="8"/>
      <c r="G35" s="8"/>
      <c r="H35" s="9"/>
    </row>
    <row r="36" spans="2:14" x14ac:dyDescent="0.35">
      <c r="B36" s="7"/>
      <c r="C36" s="8"/>
      <c r="D36" s="8"/>
      <c r="E36" s="8"/>
      <c r="F36" s="8"/>
      <c r="G36" s="8"/>
      <c r="H36" s="9"/>
    </row>
    <row r="37" spans="2:14" s="1" customFormat="1" ht="15.5" x14ac:dyDescent="0.35">
      <c r="B37" s="10" t="s">
        <v>5</v>
      </c>
      <c r="C37" s="11"/>
      <c r="D37" s="11"/>
      <c r="E37" s="11"/>
      <c r="F37" s="11"/>
      <c r="G37" s="11"/>
      <c r="H37" s="12"/>
      <c r="L37" s="18"/>
      <c r="M37" s="18"/>
      <c r="N37" s="18"/>
    </row>
    <row r="38" spans="2:14" ht="15" thickBot="1" x14ac:dyDescent="0.4">
      <c r="B38" s="13"/>
      <c r="C38" s="14"/>
      <c r="D38" s="14"/>
      <c r="E38" s="14"/>
      <c r="F38" s="14"/>
      <c r="G38" s="14"/>
      <c r="H38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5E5E-AB18-4F6D-A981-B33A4538D7F9}">
  <dimension ref="A1:AD38"/>
  <sheetViews>
    <sheetView zoomScale="60" zoomScaleNormal="60" workbookViewId="0"/>
  </sheetViews>
  <sheetFormatPr defaultRowHeight="14" customHeight="1" x14ac:dyDescent="0.35"/>
  <cols>
    <col min="1" max="1" width="2.81640625" customWidth="1"/>
    <col min="9" max="9" width="1.81640625" customWidth="1"/>
    <col min="10" max="10" width="3.1796875" customWidth="1"/>
    <col min="12" max="14" width="11.453125" style="17" customWidth="1"/>
  </cols>
  <sheetData>
    <row r="1" spans="1:30" ht="19" thickBot="1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2" t="s">
        <v>4</v>
      </c>
      <c r="L1" s="16"/>
      <c r="M1" s="16"/>
      <c r="N1" s="16"/>
      <c r="O1" s="3"/>
    </row>
    <row r="2" spans="1:30" ht="14" customHeight="1" x14ac:dyDescent="0.35">
      <c r="B2" s="4"/>
      <c r="C2" s="5"/>
      <c r="D2" s="5"/>
      <c r="E2" s="5"/>
      <c r="F2" s="5"/>
      <c r="G2" s="5"/>
      <c r="H2" s="6"/>
    </row>
    <row r="3" spans="1:30" ht="14" customHeight="1" x14ac:dyDescent="0.35">
      <c r="B3" s="7"/>
      <c r="C3" s="8"/>
      <c r="D3" s="8"/>
      <c r="E3" s="8"/>
      <c r="F3" s="8"/>
      <c r="G3" s="8"/>
      <c r="H3" s="9"/>
      <c r="J3" t="s">
        <v>7</v>
      </c>
      <c r="K3" t="s">
        <v>20</v>
      </c>
      <c r="L3" s="17" t="s">
        <v>21</v>
      </c>
      <c r="M3" s="17" t="s">
        <v>8</v>
      </c>
      <c r="N3" s="17" t="s">
        <v>9</v>
      </c>
      <c r="AD3" t="str">
        <f>K1&amp;", "&amp;"std err = "&amp;ROUND(L33,0)&amp;", "&amp;"rsq = "&amp;ROUND(L34,2)</f>
        <v>3RD ORDER POLY, std err = 435139, rsq = 0.19</v>
      </c>
    </row>
    <row r="4" spans="1:30" ht="14" customHeight="1" x14ac:dyDescent="0.35">
      <c r="B4" s="7"/>
      <c r="C4" s="8"/>
      <c r="D4" s="8"/>
      <c r="E4" s="8"/>
      <c r="F4" s="8"/>
      <c r="G4" s="8"/>
      <c r="H4" s="9"/>
      <c r="J4">
        <v>1</v>
      </c>
      <c r="K4" t="s">
        <v>22</v>
      </c>
      <c r="L4" s="17">
        <v>87952.607231040398</v>
      </c>
      <c r="M4" s="17">
        <f>(L$29*J4^3)+(L$30*J4^2)+(L$31*J4)+L$32</f>
        <v>331362.00884572341</v>
      </c>
      <c r="N4" s="17">
        <f>SQRT((M4-L4)^2)</f>
        <v>243409.40161468301</v>
      </c>
    </row>
    <row r="5" spans="1:30" ht="14" customHeight="1" x14ac:dyDescent="0.45">
      <c r="B5" s="7"/>
      <c r="C5" s="8"/>
      <c r="D5" s="8"/>
      <c r="E5" s="8"/>
      <c r="F5" s="8"/>
      <c r="G5" s="8"/>
      <c r="H5" s="9"/>
      <c r="J5">
        <v>2</v>
      </c>
      <c r="K5" t="s">
        <v>23</v>
      </c>
      <c r="L5" s="17">
        <v>727950.47150734137</v>
      </c>
      <c r="M5" s="17">
        <f t="shared" ref="M5:M27" si="0">(L$29*J5^3)+(L$30*J5^2)+(L$31*J5)+L$32</f>
        <v>320616.80163787544</v>
      </c>
      <c r="N5" s="17">
        <f t="shared" ref="N5:N27" si="1">SQRT((M5-L5)^2)</f>
        <v>407333.66986946593</v>
      </c>
      <c r="T5" s="3"/>
      <c r="U5" s="3"/>
      <c r="V5" s="3"/>
    </row>
    <row r="6" spans="1:30" ht="14" customHeight="1" x14ac:dyDescent="0.35">
      <c r="B6" s="7"/>
      <c r="C6" s="8"/>
      <c r="D6" s="8"/>
      <c r="E6" s="8"/>
      <c r="F6" s="8"/>
      <c r="G6" s="8"/>
      <c r="H6" s="9"/>
      <c r="J6">
        <v>3</v>
      </c>
      <c r="K6" t="s">
        <v>24</v>
      </c>
      <c r="L6" s="17">
        <v>379629.09222031938</v>
      </c>
      <c r="M6" s="17">
        <f t="shared" si="0"/>
        <v>319279.30482909631</v>
      </c>
      <c r="N6" s="17">
        <f t="shared" si="1"/>
        <v>60349.787391223072</v>
      </c>
    </row>
    <row r="7" spans="1:30" ht="14" customHeight="1" x14ac:dyDescent="0.35">
      <c r="B7" s="7"/>
      <c r="C7" s="8"/>
      <c r="D7" s="8"/>
      <c r="E7" s="8"/>
      <c r="F7" s="8"/>
      <c r="G7" s="8"/>
      <c r="H7" s="9"/>
      <c r="J7">
        <v>4</v>
      </c>
      <c r="K7" t="s">
        <v>25</v>
      </c>
      <c r="L7" s="17">
        <v>240830.13923244458</v>
      </c>
      <c r="M7" s="17">
        <f t="shared" si="0"/>
        <v>326570.37668909226</v>
      </c>
      <c r="N7" s="17">
        <f t="shared" si="1"/>
        <v>85740.237456647679</v>
      </c>
    </row>
    <row r="8" spans="1:30" ht="14" customHeight="1" x14ac:dyDescent="0.35">
      <c r="B8" s="7"/>
      <c r="C8" s="8"/>
      <c r="D8" s="8"/>
      <c r="E8" s="8"/>
      <c r="F8" s="8"/>
      <c r="G8" s="8"/>
      <c r="H8" s="9"/>
      <c r="J8">
        <v>5</v>
      </c>
      <c r="K8" t="s">
        <v>26</v>
      </c>
      <c r="L8" s="17">
        <v>135238.02977699981</v>
      </c>
      <c r="M8" s="17">
        <f t="shared" si="0"/>
        <v>341710.87548756972</v>
      </c>
      <c r="N8" s="17">
        <f t="shared" si="1"/>
        <v>206472.84571056991</v>
      </c>
    </row>
    <row r="9" spans="1:30" ht="14" customHeight="1" x14ac:dyDescent="0.35">
      <c r="B9" s="7"/>
      <c r="C9" s="8"/>
      <c r="D9" s="8"/>
      <c r="E9" s="8"/>
      <c r="F9" s="8"/>
      <c r="G9" s="8"/>
      <c r="H9" s="9"/>
      <c r="J9">
        <v>6</v>
      </c>
      <c r="K9" t="s">
        <v>27</v>
      </c>
      <c r="L9" s="17">
        <v>228519.57362326788</v>
      </c>
      <c r="M9" s="17">
        <f t="shared" si="0"/>
        <v>363921.65949423483</v>
      </c>
      <c r="N9" s="17">
        <f t="shared" si="1"/>
        <v>135402.08587096696</v>
      </c>
    </row>
    <row r="10" spans="1:30" ht="14" customHeight="1" x14ac:dyDescent="0.35">
      <c r="B10" s="7"/>
      <c r="C10" s="8"/>
      <c r="D10" s="8"/>
      <c r="E10" s="8"/>
      <c r="F10" s="8"/>
      <c r="G10" s="8"/>
      <c r="H10" s="9"/>
      <c r="J10">
        <v>7</v>
      </c>
      <c r="K10" t="s">
        <v>28</v>
      </c>
      <c r="L10" s="17">
        <v>82948.955202161422</v>
      </c>
      <c r="M10" s="17">
        <f t="shared" si="0"/>
        <v>392423.58697879408</v>
      </c>
      <c r="N10" s="17">
        <f t="shared" si="1"/>
        <v>309474.63177663262</v>
      </c>
    </row>
    <row r="11" spans="1:30" ht="14" customHeight="1" x14ac:dyDescent="0.35">
      <c r="B11" s="7"/>
      <c r="C11" s="8"/>
      <c r="D11" s="8"/>
      <c r="E11" s="8"/>
      <c r="F11" s="8"/>
      <c r="G11" s="8"/>
      <c r="H11" s="9"/>
      <c r="J11">
        <v>8</v>
      </c>
      <c r="K11" t="s">
        <v>29</v>
      </c>
      <c r="L11" s="17">
        <v>1381407.561087</v>
      </c>
      <c r="M11" s="17">
        <f t="shared" si="0"/>
        <v>426437.51621095365</v>
      </c>
      <c r="N11" s="17">
        <f t="shared" si="1"/>
        <v>954970.04487604625</v>
      </c>
    </row>
    <row r="12" spans="1:30" ht="14" customHeight="1" x14ac:dyDescent="0.35">
      <c r="B12" s="7"/>
      <c r="C12" s="8"/>
      <c r="D12" s="8"/>
      <c r="E12" s="8"/>
      <c r="F12" s="8"/>
      <c r="G12" s="8"/>
      <c r="H12" s="9"/>
      <c r="J12">
        <v>9</v>
      </c>
      <c r="K12" t="s">
        <v>30</v>
      </c>
      <c r="L12" s="17">
        <v>234989.12240507183</v>
      </c>
      <c r="M12" s="17">
        <f t="shared" si="0"/>
        <v>465184.30546041991</v>
      </c>
      <c r="N12" s="17">
        <f t="shared" si="1"/>
        <v>230195.18305534808</v>
      </c>
    </row>
    <row r="13" spans="1:30" ht="14" customHeight="1" x14ac:dyDescent="0.35">
      <c r="B13" s="7"/>
      <c r="C13" s="8"/>
      <c r="D13" s="8"/>
      <c r="E13" s="8"/>
      <c r="F13" s="8"/>
      <c r="G13" s="8"/>
      <c r="H13" s="9"/>
      <c r="J13">
        <v>10</v>
      </c>
      <c r="K13" t="s">
        <v>31</v>
      </c>
      <c r="L13" s="17">
        <v>65283.810096418427</v>
      </c>
      <c r="M13" s="17">
        <f t="shared" si="0"/>
        <v>507884.81299689924</v>
      </c>
      <c r="N13" s="17">
        <f t="shared" si="1"/>
        <v>442601.00290048082</v>
      </c>
    </row>
    <row r="14" spans="1:30" ht="14" customHeight="1" x14ac:dyDescent="0.35">
      <c r="B14" s="7"/>
      <c r="C14" s="8"/>
      <c r="D14" s="8"/>
      <c r="E14" s="8"/>
      <c r="F14" s="8"/>
      <c r="G14" s="8"/>
      <c r="H14" s="9"/>
      <c r="J14">
        <v>11</v>
      </c>
      <c r="K14" t="s">
        <v>32</v>
      </c>
      <c r="L14" s="17">
        <v>130810.18523888892</v>
      </c>
      <c r="M14" s="17">
        <f t="shared" si="0"/>
        <v>553759.89709009766</v>
      </c>
      <c r="N14" s="17">
        <f t="shared" si="1"/>
        <v>422949.7118512087</v>
      </c>
    </row>
    <row r="15" spans="1:30" ht="14" customHeight="1" x14ac:dyDescent="0.35">
      <c r="B15" s="7"/>
      <c r="C15" s="8"/>
      <c r="D15" s="8"/>
      <c r="E15" s="8"/>
      <c r="F15" s="8"/>
      <c r="G15" s="8"/>
      <c r="H15" s="9"/>
      <c r="J15">
        <v>12</v>
      </c>
      <c r="K15" t="s">
        <v>33</v>
      </c>
      <c r="L15" s="17">
        <v>1905045.7055257559</v>
      </c>
      <c r="M15" s="17">
        <f t="shared" si="0"/>
        <v>602030.41600972181</v>
      </c>
      <c r="N15" s="17">
        <f t="shared" si="1"/>
        <v>1303015.2895160341</v>
      </c>
    </row>
    <row r="16" spans="1:30" ht="14" customHeight="1" x14ac:dyDescent="0.35">
      <c r="B16" s="7"/>
      <c r="C16" s="8"/>
      <c r="D16" s="8"/>
      <c r="E16" s="8"/>
      <c r="F16" s="8"/>
      <c r="G16" s="8"/>
      <c r="H16" s="9"/>
      <c r="J16">
        <v>13</v>
      </c>
      <c r="K16" t="s">
        <v>34</v>
      </c>
      <c r="L16" s="17">
        <v>449347.66668781661</v>
      </c>
      <c r="M16" s="17">
        <f t="shared" si="0"/>
        <v>651917.22802547808</v>
      </c>
      <c r="N16" s="17">
        <f t="shared" si="1"/>
        <v>202569.56133766146</v>
      </c>
    </row>
    <row r="17" spans="2:15" ht="14" customHeight="1" x14ac:dyDescent="0.35">
      <c r="B17" s="7"/>
      <c r="C17" s="8"/>
      <c r="D17" s="8"/>
      <c r="E17" s="8"/>
      <c r="F17" s="8"/>
      <c r="G17" s="8"/>
      <c r="H17" s="9"/>
      <c r="J17">
        <v>14</v>
      </c>
      <c r="K17" t="s">
        <v>35</v>
      </c>
      <c r="L17" s="17">
        <v>426973.78122560366</v>
      </c>
      <c r="M17" s="17">
        <f t="shared" si="0"/>
        <v>702641.19140707236</v>
      </c>
      <c r="N17" s="17">
        <f t="shared" si="1"/>
        <v>275667.4101814687</v>
      </c>
    </row>
    <row r="18" spans="2:15" ht="14" customHeight="1" x14ac:dyDescent="0.35">
      <c r="B18" s="7"/>
      <c r="C18" s="8"/>
      <c r="D18" s="8"/>
      <c r="E18" s="8"/>
      <c r="F18" s="8"/>
      <c r="G18" s="8"/>
      <c r="H18" s="9"/>
      <c r="J18">
        <v>15</v>
      </c>
      <c r="K18" t="s">
        <v>36</v>
      </c>
      <c r="L18" s="17">
        <v>774251.14242330764</v>
      </c>
      <c r="M18" s="17">
        <f t="shared" si="0"/>
        <v>753423.16442421137</v>
      </c>
      <c r="N18" s="17">
        <f t="shared" si="1"/>
        <v>20827.977999096271</v>
      </c>
    </row>
    <row r="19" spans="2:15" ht="14" customHeight="1" x14ac:dyDescent="0.35">
      <c r="B19" s="7"/>
      <c r="C19" s="8"/>
      <c r="D19" s="8"/>
      <c r="E19" s="8"/>
      <c r="F19" s="8"/>
      <c r="G19" s="8"/>
      <c r="H19" s="9"/>
      <c r="J19">
        <v>16</v>
      </c>
      <c r="K19" t="s">
        <v>37</v>
      </c>
      <c r="L19" s="17">
        <v>445586.95325720625</v>
      </c>
      <c r="M19" s="17">
        <f t="shared" si="0"/>
        <v>803484.00534660101</v>
      </c>
      <c r="N19" s="17">
        <f t="shared" si="1"/>
        <v>357897.05208939477</v>
      </c>
    </row>
    <row r="20" spans="2:15" ht="14" customHeight="1" x14ac:dyDescent="0.45">
      <c r="B20" s="7"/>
      <c r="C20" s="8"/>
      <c r="D20" s="8"/>
      <c r="E20" s="8"/>
      <c r="F20" s="8"/>
      <c r="G20" s="8"/>
      <c r="H20" s="9"/>
      <c r="J20">
        <v>17</v>
      </c>
      <c r="K20" t="s">
        <v>38</v>
      </c>
      <c r="L20" s="17">
        <v>252397.66153609121</v>
      </c>
      <c r="M20" s="17">
        <f t="shared" si="0"/>
        <v>852044.57244394801</v>
      </c>
      <c r="N20" s="17">
        <f t="shared" si="1"/>
        <v>599646.91090785677</v>
      </c>
      <c r="O20" s="3"/>
    </row>
    <row r="21" spans="2:15" ht="14" customHeight="1" x14ac:dyDescent="0.35">
      <c r="B21" s="7"/>
      <c r="C21" s="8"/>
      <c r="D21" s="8"/>
      <c r="E21" s="8"/>
      <c r="F21" s="8"/>
      <c r="G21" s="8"/>
      <c r="H21" s="9"/>
      <c r="J21">
        <v>18</v>
      </c>
      <c r="K21" t="s">
        <v>39</v>
      </c>
      <c r="L21" s="17">
        <v>1598646.6400996149</v>
      </c>
      <c r="M21" s="17">
        <f t="shared" si="0"/>
        <v>898325.72398595826</v>
      </c>
      <c r="N21" s="17">
        <f t="shared" si="1"/>
        <v>700320.9161136566</v>
      </c>
    </row>
    <row r="22" spans="2:15" ht="14" customHeight="1" x14ac:dyDescent="0.35">
      <c r="B22" s="7"/>
      <c r="C22" s="8"/>
      <c r="D22" s="8"/>
      <c r="E22" s="8"/>
      <c r="F22" s="8"/>
      <c r="G22" s="8"/>
      <c r="H22" s="9"/>
      <c r="J22">
        <v>19</v>
      </c>
      <c r="K22" t="s">
        <v>40</v>
      </c>
      <c r="L22" s="17">
        <v>408842.58542053361</v>
      </c>
      <c r="M22" s="17">
        <f t="shared" si="0"/>
        <v>941548.31824233849</v>
      </c>
      <c r="N22" s="17">
        <f t="shared" si="1"/>
        <v>532705.73282180494</v>
      </c>
    </row>
    <row r="23" spans="2:15" ht="14" customHeight="1" x14ac:dyDescent="0.35">
      <c r="B23" s="7"/>
      <c r="C23" s="8"/>
      <c r="D23" s="8"/>
      <c r="E23" s="8"/>
      <c r="F23" s="8"/>
      <c r="G23" s="8"/>
      <c r="H23" s="9"/>
      <c r="J23">
        <v>20</v>
      </c>
      <c r="K23" t="s">
        <v>41</v>
      </c>
      <c r="L23" s="17">
        <v>2329023.4264592025</v>
      </c>
      <c r="M23" s="17">
        <f t="shared" si="0"/>
        <v>980933.21348279505</v>
      </c>
      <c r="N23" s="17">
        <f t="shared" si="1"/>
        <v>1348090.2129764075</v>
      </c>
    </row>
    <row r="24" spans="2:15" ht="14" customHeight="1" x14ac:dyDescent="0.35">
      <c r="B24" s="7"/>
      <c r="C24" s="8"/>
      <c r="D24" s="8"/>
      <c r="E24" s="8"/>
      <c r="F24" s="8"/>
      <c r="G24" s="8"/>
      <c r="H24" s="9"/>
      <c r="J24">
        <v>21</v>
      </c>
      <c r="K24" t="s">
        <v>42</v>
      </c>
      <c r="L24" s="17">
        <v>356866.32589210744</v>
      </c>
      <c r="M24" s="17">
        <f t="shared" si="0"/>
        <v>1015701.2679770334</v>
      </c>
      <c r="N24" s="17">
        <f t="shared" si="1"/>
        <v>658834.94208492595</v>
      </c>
    </row>
    <row r="25" spans="2:15" ht="14" customHeight="1" x14ac:dyDescent="0.35">
      <c r="B25" s="7"/>
      <c r="C25" s="8"/>
      <c r="D25" s="8"/>
      <c r="E25" s="8"/>
      <c r="F25" s="8"/>
      <c r="G25" s="8"/>
      <c r="H25" s="9"/>
      <c r="J25">
        <v>22</v>
      </c>
      <c r="K25" t="s">
        <v>43</v>
      </c>
      <c r="L25" s="17">
        <v>1225000.0118695311</v>
      </c>
      <c r="M25" s="17">
        <f t="shared" si="0"/>
        <v>1045073.3399947608</v>
      </c>
      <c r="N25" s="17">
        <f t="shared" si="1"/>
        <v>179926.67187477031</v>
      </c>
    </row>
    <row r="26" spans="2:15" ht="14" customHeight="1" x14ac:dyDescent="0.35">
      <c r="B26" s="7"/>
      <c r="C26" s="8"/>
      <c r="D26" s="8"/>
      <c r="E26" s="8"/>
      <c r="F26" s="8"/>
      <c r="G26" s="8"/>
      <c r="H26" s="9"/>
      <c r="J26">
        <v>23</v>
      </c>
      <c r="K26" t="s">
        <v>44</v>
      </c>
      <c r="L26" s="17">
        <v>550165.27004080685</v>
      </c>
      <c r="M26" s="17">
        <f t="shared" si="0"/>
        <v>1068270.2878056834</v>
      </c>
      <c r="N26" s="17">
        <f t="shared" si="1"/>
        <v>518105.0177648766</v>
      </c>
    </row>
    <row r="27" spans="2:15" ht="14" customHeight="1" x14ac:dyDescent="0.35">
      <c r="B27" s="7"/>
      <c r="C27" s="8"/>
      <c r="D27" s="8"/>
      <c r="E27" s="8"/>
      <c r="F27" s="8"/>
      <c r="G27" s="8"/>
      <c r="H27" s="9"/>
      <c r="J27">
        <v>24</v>
      </c>
      <c r="K27" t="s">
        <v>45</v>
      </c>
      <c r="L27" s="17">
        <v>1331350.1264873333</v>
      </c>
      <c r="M27" s="17">
        <f t="shared" si="0"/>
        <v>1084512.969679507</v>
      </c>
      <c r="N27" s="17">
        <f t="shared" si="1"/>
        <v>246837.15680782637</v>
      </c>
    </row>
    <row r="28" spans="2:15" ht="14" customHeight="1" x14ac:dyDescent="0.35">
      <c r="B28" s="7"/>
      <c r="C28" s="8"/>
      <c r="D28" s="8"/>
      <c r="E28" s="8"/>
      <c r="F28" s="8"/>
      <c r="G28" s="8"/>
      <c r="H28" s="9"/>
    </row>
    <row r="29" spans="2:15" ht="14" customHeight="1" x14ac:dyDescent="0.35">
      <c r="B29" s="7"/>
      <c r="C29" s="8"/>
      <c r="D29" s="8"/>
      <c r="E29" s="8"/>
      <c r="F29" s="8"/>
      <c r="G29" s="8"/>
      <c r="H29" s="9"/>
      <c r="K29" t="s">
        <v>18</v>
      </c>
      <c r="L29" s="17" cm="1">
        <f t="array" ref="L29">_xlfn.SINGLE(INDEX(LINEST(L4:L27,J4:J27^{1,2,3}),1))</f>
        <v>-129.85695504894815</v>
      </c>
    </row>
    <row r="30" spans="2:15" ht="14" customHeight="1" x14ac:dyDescent="0.35">
      <c r="B30" s="7"/>
      <c r="C30" s="8"/>
      <c r="D30" s="8"/>
      <c r="E30" s="8"/>
      <c r="F30" s="8"/>
      <c r="G30" s="8"/>
      <c r="H30" s="9"/>
      <c r="K30" t="s">
        <v>14</v>
      </c>
      <c r="L30" s="17" cm="1">
        <f t="array" ref="L30">INDEX(LINEST(L4:L27,J4:J27^{1,2,3}),1,2)</f>
        <v>5482.9969298280957</v>
      </c>
    </row>
    <row r="31" spans="2:15" ht="14" customHeight="1" x14ac:dyDescent="0.35">
      <c r="B31" s="7"/>
      <c r="C31" s="8"/>
      <c r="D31" s="8"/>
      <c r="E31" s="8"/>
      <c r="F31" s="8"/>
      <c r="G31" s="8"/>
      <c r="H31" s="9"/>
      <c r="K31" t="s">
        <v>15</v>
      </c>
      <c r="L31" s="17" cm="1">
        <f t="array" ref="L31">INDEX(LINEST(L4:L27,J4:J27^{1,2,3}),1,3)</f>
        <v>-26285.199311989607</v>
      </c>
    </row>
    <row r="32" spans="2:15" ht="14" customHeight="1" x14ac:dyDescent="0.35">
      <c r="B32" s="7"/>
      <c r="C32" s="8"/>
      <c r="D32" s="8"/>
      <c r="E32" s="8"/>
      <c r="F32" s="8"/>
      <c r="G32" s="8"/>
      <c r="H32" s="9"/>
      <c r="K32" t="s">
        <v>13</v>
      </c>
      <c r="L32" s="19" cm="1">
        <f t="array" ref="L32">INDEX(LINEST(L4:L27,J4:J27^{1,2,3}),1,4)</f>
        <v>352294.06818293384</v>
      </c>
    </row>
    <row r="33" spans="1:15" ht="14" customHeight="1" x14ac:dyDescent="0.35">
      <c r="B33" s="7"/>
      <c r="C33" s="8"/>
      <c r="D33" s="8"/>
      <c r="E33" s="8"/>
      <c r="F33" s="8"/>
      <c r="G33" s="8"/>
      <c r="H33" s="9"/>
      <c r="K33" t="s">
        <v>17</v>
      </c>
      <c r="L33" s="17">
        <f>AVERAGE(N4:N27)</f>
        <v>435139.31061871065</v>
      </c>
    </row>
    <row r="34" spans="1:15" ht="14" customHeight="1" x14ac:dyDescent="0.35">
      <c r="B34" s="7"/>
      <c r="C34" s="8"/>
      <c r="D34" s="8"/>
      <c r="E34" s="8"/>
      <c r="F34" s="8"/>
      <c r="G34" s="8"/>
      <c r="H34" s="9"/>
      <c r="K34" t="s">
        <v>6</v>
      </c>
      <c r="L34" s="19">
        <f>RSQ(M4:M27,L4:L27)</f>
        <v>0.1925214892705967</v>
      </c>
    </row>
    <row r="35" spans="1:15" ht="14" customHeight="1" x14ac:dyDescent="0.35">
      <c r="B35" s="7"/>
      <c r="C35" s="8"/>
      <c r="D35" s="8"/>
      <c r="E35" s="8"/>
      <c r="F35" s="8"/>
      <c r="G35" s="8"/>
      <c r="H35" s="9"/>
    </row>
    <row r="36" spans="1:15" ht="14" customHeight="1" x14ac:dyDescent="0.35">
      <c r="B36" s="7"/>
      <c r="C36" s="8"/>
      <c r="D36" s="8"/>
      <c r="E36" s="8"/>
      <c r="F36" s="8"/>
      <c r="G36" s="8"/>
      <c r="H36" s="9"/>
    </row>
    <row r="37" spans="1:15" ht="14" customHeight="1" x14ac:dyDescent="0.35">
      <c r="A37" s="1"/>
      <c r="B37" s="10"/>
      <c r="C37" s="11"/>
      <c r="D37" s="11"/>
      <c r="E37" s="11"/>
      <c r="F37" s="11"/>
      <c r="G37" s="11"/>
      <c r="H37" s="12"/>
      <c r="I37" s="1"/>
      <c r="J37" s="1"/>
      <c r="K37" s="1"/>
      <c r="L37" s="18"/>
      <c r="M37" s="18"/>
      <c r="N37" s="18"/>
      <c r="O37" s="1"/>
    </row>
    <row r="38" spans="1:15" ht="14" customHeight="1" thickBot="1" x14ac:dyDescent="0.4">
      <c r="B38" s="13"/>
      <c r="C38" s="14"/>
      <c r="D38" s="14"/>
      <c r="E38" s="14"/>
      <c r="F38" s="14"/>
      <c r="G38" s="14"/>
      <c r="H38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05A3-EA2C-470F-81E3-CE53BD1C7590}">
  <dimension ref="A1:AD38"/>
  <sheetViews>
    <sheetView zoomScale="60" zoomScaleNormal="60" workbookViewId="0"/>
  </sheetViews>
  <sheetFormatPr defaultRowHeight="14" customHeight="1" x14ac:dyDescent="0.35"/>
  <cols>
    <col min="1" max="1" width="2.81640625" customWidth="1"/>
    <col min="9" max="9" width="1.81640625" customWidth="1"/>
    <col min="10" max="10" width="3.1796875" customWidth="1"/>
    <col min="12" max="14" width="11.453125" style="17" customWidth="1"/>
  </cols>
  <sheetData>
    <row r="1" spans="1:30" ht="19" thickBot="1" x14ac:dyDescent="0.5">
      <c r="A1" s="3"/>
      <c r="B1" s="3"/>
      <c r="C1" s="3"/>
      <c r="D1" s="3"/>
      <c r="E1" s="3"/>
      <c r="F1" s="3"/>
      <c r="G1" s="3"/>
      <c r="H1" s="3"/>
      <c r="I1" s="3"/>
      <c r="J1" s="3"/>
      <c r="K1" s="2" t="s">
        <v>1</v>
      </c>
      <c r="L1" s="16"/>
      <c r="M1" s="16"/>
      <c r="N1" s="16"/>
      <c r="O1" s="3"/>
    </row>
    <row r="2" spans="1:30" ht="14" customHeight="1" x14ac:dyDescent="0.35">
      <c r="B2" s="4"/>
      <c r="C2" s="5"/>
      <c r="D2" s="5"/>
      <c r="E2" s="5"/>
      <c r="F2" s="5"/>
      <c r="G2" s="5"/>
      <c r="H2" s="6"/>
    </row>
    <row r="3" spans="1:30" ht="14" customHeight="1" x14ac:dyDescent="0.35">
      <c r="B3" s="7"/>
      <c r="C3" s="8"/>
      <c r="D3" s="8"/>
      <c r="E3" s="8"/>
      <c r="F3" s="8"/>
      <c r="G3" s="8"/>
      <c r="H3" s="9"/>
      <c r="J3" t="s">
        <v>7</v>
      </c>
      <c r="K3" t="s">
        <v>20</v>
      </c>
      <c r="L3" s="17" t="s">
        <v>21</v>
      </c>
      <c r="M3" s="17" t="s">
        <v>8</v>
      </c>
      <c r="N3" s="17" t="s">
        <v>9</v>
      </c>
      <c r="AD3" t="str">
        <f>K1&amp;", "&amp;"std err = "&amp;ROUND(L31,0)&amp;", "&amp;"rsq = "&amp;ROUND(L32,2)</f>
        <v>EXPONENTIAL, std err = 393610, rsq = 0.18</v>
      </c>
    </row>
    <row r="4" spans="1:30" ht="14" customHeight="1" x14ac:dyDescent="0.35">
      <c r="B4" s="7"/>
      <c r="C4" s="8"/>
      <c r="D4" s="8"/>
      <c r="E4" s="8"/>
      <c r="F4" s="8"/>
      <c r="G4" s="8"/>
      <c r="H4" s="9"/>
      <c r="J4">
        <v>1</v>
      </c>
      <c r="K4" t="s">
        <v>22</v>
      </c>
      <c r="L4" s="17">
        <v>87952.607231040398</v>
      </c>
      <c r="M4" s="17">
        <f>L$29*2.7818^(L$30*J4)</f>
        <v>175513.66802245568</v>
      </c>
      <c r="N4" s="17">
        <f>SQRT((M4-L4)^2)</f>
        <v>87561.060791415279</v>
      </c>
    </row>
    <row r="5" spans="1:30" ht="14" customHeight="1" x14ac:dyDescent="0.35">
      <c r="B5" s="7"/>
      <c r="C5" s="8"/>
      <c r="D5" s="8"/>
      <c r="E5" s="8"/>
      <c r="F5" s="8"/>
      <c r="G5" s="8"/>
      <c r="H5" s="9"/>
      <c r="J5">
        <v>2</v>
      </c>
      <c r="K5" t="s">
        <v>23</v>
      </c>
      <c r="L5" s="17">
        <v>727950.47150734137</v>
      </c>
      <c r="M5" s="17">
        <f t="shared" ref="M5:M27" si="0">L$29*2.7818^(L$30*J5)</f>
        <v>189470.0403751847</v>
      </c>
      <c r="N5" s="17">
        <f t="shared" ref="N5:N27" si="1">SQRT((M5-L5)^2)</f>
        <v>538480.43113215663</v>
      </c>
    </row>
    <row r="6" spans="1:30" ht="14" customHeight="1" x14ac:dyDescent="0.35">
      <c r="B6" s="7"/>
      <c r="C6" s="8"/>
      <c r="D6" s="8"/>
      <c r="E6" s="8"/>
      <c r="F6" s="8"/>
      <c r="G6" s="8"/>
      <c r="H6" s="9"/>
      <c r="J6">
        <v>3</v>
      </c>
      <c r="K6" t="s">
        <v>24</v>
      </c>
      <c r="L6" s="17">
        <v>379629.09222031938</v>
      </c>
      <c r="M6" s="17">
        <f t="shared" si="0"/>
        <v>204536.1857241861</v>
      </c>
      <c r="N6" s="17">
        <f t="shared" si="1"/>
        <v>175092.90649613328</v>
      </c>
    </row>
    <row r="7" spans="1:30" ht="14" customHeight="1" x14ac:dyDescent="0.35">
      <c r="B7" s="7"/>
      <c r="C7" s="8"/>
      <c r="D7" s="8"/>
      <c r="E7" s="8"/>
      <c r="F7" s="8"/>
      <c r="G7" s="8"/>
      <c r="H7" s="9"/>
      <c r="J7">
        <v>4</v>
      </c>
      <c r="K7" t="s">
        <v>25</v>
      </c>
      <c r="L7" s="17">
        <v>240830.13923244458</v>
      </c>
      <c r="M7" s="17">
        <f t="shared" si="0"/>
        <v>220800.35021767989</v>
      </c>
      <c r="N7" s="17">
        <f t="shared" si="1"/>
        <v>20029.789014764683</v>
      </c>
    </row>
    <row r="8" spans="1:30" ht="14" customHeight="1" x14ac:dyDescent="0.35">
      <c r="B8" s="7"/>
      <c r="C8" s="8"/>
      <c r="D8" s="8"/>
      <c r="E8" s="8"/>
      <c r="F8" s="8"/>
      <c r="G8" s="8"/>
      <c r="H8" s="9"/>
      <c r="J8">
        <v>5</v>
      </c>
      <c r="K8" t="s">
        <v>26</v>
      </c>
      <c r="L8" s="17">
        <v>135238.02977699981</v>
      </c>
      <c r="M8" s="17">
        <f t="shared" si="0"/>
        <v>238357.79709900572</v>
      </c>
      <c r="N8" s="17">
        <f t="shared" si="1"/>
        <v>103119.76732200591</v>
      </c>
    </row>
    <row r="9" spans="1:30" ht="14" customHeight="1" x14ac:dyDescent="0.35">
      <c r="B9" s="7"/>
      <c r="C9" s="8"/>
      <c r="D9" s="8"/>
      <c r="E9" s="8"/>
      <c r="F9" s="8"/>
      <c r="G9" s="8"/>
      <c r="H9" s="9"/>
      <c r="J9">
        <v>6</v>
      </c>
      <c r="K9" t="s">
        <v>27</v>
      </c>
      <c r="L9" s="17">
        <v>228519.57362326788</v>
      </c>
      <c r="M9" s="17">
        <f t="shared" si="0"/>
        <v>257311.36468705451</v>
      </c>
      <c r="N9" s="17">
        <f t="shared" si="1"/>
        <v>28791.79106378663</v>
      </c>
    </row>
    <row r="10" spans="1:30" ht="14" customHeight="1" x14ac:dyDescent="0.35">
      <c r="B10" s="7"/>
      <c r="C10" s="8"/>
      <c r="D10" s="8"/>
      <c r="E10" s="8"/>
      <c r="F10" s="8"/>
      <c r="G10" s="8"/>
      <c r="H10" s="9"/>
      <c r="J10">
        <v>7</v>
      </c>
      <c r="K10" t="s">
        <v>28</v>
      </c>
      <c r="L10" s="17">
        <v>82948.955202161422</v>
      </c>
      <c r="M10" s="17">
        <f t="shared" si="0"/>
        <v>277772.06872579595</v>
      </c>
      <c r="N10" s="17">
        <f t="shared" si="1"/>
        <v>194823.11352363453</v>
      </c>
    </row>
    <row r="11" spans="1:30" ht="14" customHeight="1" x14ac:dyDescent="0.35">
      <c r="B11" s="7"/>
      <c r="C11" s="8"/>
      <c r="D11" s="8"/>
      <c r="E11" s="8"/>
      <c r="F11" s="8"/>
      <c r="G11" s="8"/>
      <c r="H11" s="9"/>
      <c r="J11">
        <v>8</v>
      </c>
      <c r="K11" t="s">
        <v>29</v>
      </c>
      <c r="L11" s="17">
        <v>1381407.561087</v>
      </c>
      <c r="M11" s="17">
        <f t="shared" si="0"/>
        <v>299859.75263101218</v>
      </c>
      <c r="N11" s="17">
        <f t="shared" si="1"/>
        <v>1081547.8084559878</v>
      </c>
    </row>
    <row r="12" spans="1:30" ht="14" customHeight="1" x14ac:dyDescent="0.35">
      <c r="B12" s="7"/>
      <c r="C12" s="8"/>
      <c r="D12" s="8"/>
      <c r="E12" s="8"/>
      <c r="F12" s="8"/>
      <c r="G12" s="8"/>
      <c r="H12" s="9"/>
      <c r="J12">
        <v>9</v>
      </c>
      <c r="K12" t="s">
        <v>30</v>
      </c>
      <c r="L12" s="17">
        <v>234989.12240507183</v>
      </c>
      <c r="M12" s="17">
        <f t="shared" si="0"/>
        <v>323703.78944289283</v>
      </c>
      <c r="N12" s="17">
        <f t="shared" si="1"/>
        <v>88714.667037820996</v>
      </c>
    </row>
    <row r="13" spans="1:30" ht="14" customHeight="1" x14ac:dyDescent="0.35">
      <c r="B13" s="7"/>
      <c r="C13" s="8"/>
      <c r="D13" s="8"/>
      <c r="E13" s="8"/>
      <c r="F13" s="8"/>
      <c r="G13" s="8"/>
      <c r="H13" s="9"/>
      <c r="J13">
        <v>10</v>
      </c>
      <c r="K13" t="s">
        <v>31</v>
      </c>
      <c r="L13" s="17">
        <v>65283.810096418427</v>
      </c>
      <c r="M13" s="17">
        <f t="shared" si="0"/>
        <v>349443.83959600341</v>
      </c>
      <c r="N13" s="17">
        <f t="shared" si="1"/>
        <v>284160.02949958498</v>
      </c>
    </row>
    <row r="14" spans="1:30" ht="14" customHeight="1" x14ac:dyDescent="0.35">
      <c r="B14" s="7"/>
      <c r="C14" s="8"/>
      <c r="D14" s="8"/>
      <c r="E14" s="8"/>
      <c r="F14" s="8"/>
      <c r="G14" s="8"/>
      <c r="H14" s="9"/>
      <c r="J14">
        <v>11</v>
      </c>
      <c r="K14" t="s">
        <v>32</v>
      </c>
      <c r="L14" s="17">
        <v>130810.18523888892</v>
      </c>
      <c r="M14" s="17">
        <f t="shared" si="0"/>
        <v>377230.66894507251</v>
      </c>
      <c r="N14" s="17">
        <f t="shared" si="1"/>
        <v>246420.48370618359</v>
      </c>
    </row>
    <row r="15" spans="1:30" ht="14" customHeight="1" x14ac:dyDescent="0.35">
      <c r="B15" s="7"/>
      <c r="C15" s="8"/>
      <c r="D15" s="8"/>
      <c r="E15" s="8"/>
      <c r="F15" s="8"/>
      <c r="G15" s="8"/>
      <c r="H15" s="9"/>
      <c r="J15">
        <v>12</v>
      </c>
      <c r="K15" t="s">
        <v>33</v>
      </c>
      <c r="L15" s="17">
        <v>1905045.7055257559</v>
      </c>
      <c r="M15" s="17">
        <f t="shared" si="0"/>
        <v>407227.03183797788</v>
      </c>
      <c r="N15" s="17">
        <f t="shared" si="1"/>
        <v>1497818.6736877779</v>
      </c>
    </row>
    <row r="16" spans="1:30" ht="14" customHeight="1" x14ac:dyDescent="0.35">
      <c r="B16" s="7"/>
      <c r="C16" s="8"/>
      <c r="D16" s="8"/>
      <c r="E16" s="8"/>
      <c r="F16" s="8"/>
      <c r="G16" s="8"/>
      <c r="H16" s="9"/>
      <c r="J16">
        <v>13</v>
      </c>
      <c r="K16" t="s">
        <v>34</v>
      </c>
      <c r="L16" s="17">
        <v>449347.66668781661</v>
      </c>
      <c r="M16" s="17">
        <f t="shared" si="0"/>
        <v>439608.62440830871</v>
      </c>
      <c r="N16" s="17">
        <f t="shared" si="1"/>
        <v>9739.0422795079066</v>
      </c>
    </row>
    <row r="17" spans="2:15" ht="14" customHeight="1" x14ac:dyDescent="0.35">
      <c r="B17" s="7"/>
      <c r="C17" s="8"/>
      <c r="D17" s="8"/>
      <c r="E17" s="8"/>
      <c r="F17" s="8"/>
      <c r="G17" s="8"/>
      <c r="H17" s="9"/>
      <c r="J17">
        <v>14</v>
      </c>
      <c r="K17" t="s">
        <v>35</v>
      </c>
      <c r="L17" s="17">
        <v>426973.78122560366</v>
      </c>
      <c r="M17" s="17">
        <f t="shared" si="0"/>
        <v>474565.11367117567</v>
      </c>
      <c r="N17" s="17">
        <f t="shared" si="1"/>
        <v>47591.332445572014</v>
      </c>
    </row>
    <row r="18" spans="2:15" ht="14" customHeight="1" x14ac:dyDescent="0.35">
      <c r="B18" s="7"/>
      <c r="C18" s="8"/>
      <c r="D18" s="8"/>
      <c r="E18" s="8"/>
      <c r="F18" s="8"/>
      <c r="G18" s="8"/>
      <c r="H18" s="9"/>
      <c r="J18">
        <v>15</v>
      </c>
      <c r="K18" t="s">
        <v>36</v>
      </c>
      <c r="L18" s="17">
        <v>774251.14242330764</v>
      </c>
      <c r="M18" s="17">
        <f t="shared" si="0"/>
        <v>512301.24844993686</v>
      </c>
      <c r="N18" s="17">
        <f t="shared" si="1"/>
        <v>261949.89397337078</v>
      </c>
    </row>
    <row r="19" spans="2:15" ht="14" customHeight="1" x14ac:dyDescent="0.35">
      <c r="B19" s="7"/>
      <c r="C19" s="8"/>
      <c r="D19" s="8"/>
      <c r="E19" s="8"/>
      <c r="F19" s="8"/>
      <c r="G19" s="8"/>
      <c r="H19" s="9"/>
      <c r="J19">
        <v>16</v>
      </c>
      <c r="K19" t="s">
        <v>37</v>
      </c>
      <c r="L19" s="17">
        <v>445586.95325720625</v>
      </c>
      <c r="M19" s="17">
        <f t="shared" si="0"/>
        <v>553038.05864081322</v>
      </c>
      <c r="N19" s="17">
        <f t="shared" si="1"/>
        <v>107451.10538360698</v>
      </c>
    </row>
    <row r="20" spans="2:15" ht="14" customHeight="1" x14ac:dyDescent="0.45">
      <c r="B20" s="7"/>
      <c r="C20" s="8"/>
      <c r="D20" s="8"/>
      <c r="E20" s="8"/>
      <c r="F20" s="8"/>
      <c r="G20" s="8"/>
      <c r="H20" s="9"/>
      <c r="J20">
        <v>17</v>
      </c>
      <c r="K20" t="s">
        <v>38</v>
      </c>
      <c r="L20" s="17">
        <v>252397.66153609121</v>
      </c>
      <c r="M20" s="17">
        <f t="shared" si="0"/>
        <v>597014.14983978518</v>
      </c>
      <c r="N20" s="17">
        <f t="shared" si="1"/>
        <v>344616.48830369394</v>
      </c>
      <c r="O20" s="3"/>
    </row>
    <row r="21" spans="2:15" ht="14" customHeight="1" x14ac:dyDescent="0.35">
      <c r="B21" s="7"/>
      <c r="C21" s="8"/>
      <c r="D21" s="8"/>
      <c r="E21" s="8"/>
      <c r="F21" s="8"/>
      <c r="G21" s="8"/>
      <c r="H21" s="9"/>
      <c r="J21">
        <v>18</v>
      </c>
      <c r="K21" t="s">
        <v>39</v>
      </c>
      <c r="L21" s="17">
        <v>1598646.6400996149</v>
      </c>
      <c r="M21" s="17">
        <f t="shared" si="0"/>
        <v>644487.100914718</v>
      </c>
      <c r="N21" s="17">
        <f t="shared" si="1"/>
        <v>954159.53918489686</v>
      </c>
    </row>
    <row r="22" spans="2:15" ht="14" customHeight="1" x14ac:dyDescent="0.35">
      <c r="B22" s="7"/>
      <c r="C22" s="8"/>
      <c r="D22" s="8"/>
      <c r="E22" s="8"/>
      <c r="F22" s="8"/>
      <c r="G22" s="8"/>
      <c r="H22" s="9"/>
      <c r="J22">
        <v>19</v>
      </c>
      <c r="K22" t="s">
        <v>40</v>
      </c>
      <c r="L22" s="17">
        <v>408842.58542053361</v>
      </c>
      <c r="M22" s="17">
        <f t="shared" si="0"/>
        <v>695734.97270864493</v>
      </c>
      <c r="N22" s="17">
        <f t="shared" si="1"/>
        <v>286892.38728811132</v>
      </c>
    </row>
    <row r="23" spans="2:15" ht="14" customHeight="1" x14ac:dyDescent="0.35">
      <c r="B23" s="7"/>
      <c r="C23" s="8"/>
      <c r="D23" s="8"/>
      <c r="E23" s="8"/>
      <c r="F23" s="8"/>
      <c r="G23" s="8"/>
      <c r="H23" s="9"/>
      <c r="J23">
        <v>20</v>
      </c>
      <c r="K23" t="s">
        <v>41</v>
      </c>
      <c r="L23" s="17">
        <v>2329023.4264592025</v>
      </c>
      <c r="M23" s="17">
        <f t="shared" si="0"/>
        <v>751057.93671105697</v>
      </c>
      <c r="N23" s="17">
        <f t="shared" si="1"/>
        <v>1577965.4897481455</v>
      </c>
    </row>
    <row r="24" spans="2:15" ht="14" customHeight="1" x14ac:dyDescent="0.35">
      <c r="B24" s="7"/>
      <c r="C24" s="8"/>
      <c r="D24" s="8"/>
      <c r="E24" s="8"/>
      <c r="F24" s="8"/>
      <c r="G24" s="8"/>
      <c r="H24" s="9"/>
      <c r="J24">
        <v>21</v>
      </c>
      <c r="K24" t="s">
        <v>42</v>
      </c>
      <c r="L24" s="17">
        <v>356866.32589210744</v>
      </c>
      <c r="M24" s="17">
        <f t="shared" si="0"/>
        <v>810780.03323672956</v>
      </c>
      <c r="N24" s="17">
        <f t="shared" si="1"/>
        <v>453913.70734462212</v>
      </c>
    </row>
    <row r="25" spans="2:15" ht="14" customHeight="1" x14ac:dyDescent="0.35">
      <c r="B25" s="7"/>
      <c r="C25" s="8"/>
      <c r="D25" s="8"/>
      <c r="E25" s="8"/>
      <c r="F25" s="8"/>
      <c r="G25" s="8"/>
      <c r="H25" s="9"/>
      <c r="J25">
        <v>22</v>
      </c>
      <c r="K25" t="s">
        <v>43</v>
      </c>
      <c r="L25" s="17">
        <v>1225000.0118695311</v>
      </c>
      <c r="M25" s="17">
        <f t="shared" si="0"/>
        <v>875251.06941017485</v>
      </c>
      <c r="N25" s="17">
        <f t="shared" si="1"/>
        <v>349748.94245935627</v>
      </c>
    </row>
    <row r="26" spans="2:15" ht="14" customHeight="1" x14ac:dyDescent="0.35">
      <c r="B26" s="7"/>
      <c r="C26" s="8"/>
      <c r="D26" s="8"/>
      <c r="E26" s="8"/>
      <c r="F26" s="8"/>
      <c r="G26" s="8"/>
      <c r="H26" s="9"/>
      <c r="J26">
        <v>23</v>
      </c>
      <c r="K26" t="s">
        <v>44</v>
      </c>
      <c r="L26" s="17">
        <v>550165.27004080685</v>
      </c>
      <c r="M26" s="17">
        <f t="shared" si="0"/>
        <v>944848.66807268967</v>
      </c>
      <c r="N26" s="17">
        <f t="shared" si="1"/>
        <v>394683.39803188283</v>
      </c>
    </row>
    <row r="27" spans="2:15" ht="14" customHeight="1" x14ac:dyDescent="0.35">
      <c r="B27" s="7"/>
      <c r="C27" s="8"/>
      <c r="D27" s="8"/>
      <c r="E27" s="8"/>
      <c r="F27" s="8"/>
      <c r="G27" s="8"/>
      <c r="H27" s="9"/>
      <c r="J27">
        <v>24</v>
      </c>
      <c r="K27" t="s">
        <v>45</v>
      </c>
      <c r="L27" s="17">
        <v>1331350.1264873333</v>
      </c>
      <c r="M27" s="17">
        <f t="shared" si="0"/>
        <v>1019980.4796129478</v>
      </c>
      <c r="N27" s="17">
        <f t="shared" si="1"/>
        <v>311369.64687438554</v>
      </c>
    </row>
    <row r="28" spans="2:15" ht="14" customHeight="1" x14ac:dyDescent="0.35">
      <c r="B28" s="7"/>
      <c r="C28" s="8"/>
      <c r="D28" s="8"/>
      <c r="E28" s="8"/>
      <c r="F28" s="8"/>
      <c r="G28" s="8"/>
      <c r="H28" s="9"/>
    </row>
    <row r="29" spans="2:15" ht="14" customHeight="1" x14ac:dyDescent="0.35">
      <c r="B29" s="7"/>
      <c r="C29" s="8"/>
      <c r="D29" s="8"/>
      <c r="E29" s="8"/>
      <c r="F29" s="8"/>
      <c r="G29" s="8"/>
      <c r="H29" s="9"/>
      <c r="K29" t="s">
        <v>12</v>
      </c>
      <c r="L29" s="17" cm="1">
        <f t="array" ref="L29">EXP(INDEX(LINEST(LN(exp!L4:L27),exp!J4:J27,TRUE,TRUE),1,2))</f>
        <v>162585.32273333162</v>
      </c>
    </row>
    <row r="30" spans="2:15" ht="14" customHeight="1" x14ac:dyDescent="0.35">
      <c r="B30" s="7"/>
      <c r="C30" s="8"/>
      <c r="D30" s="8"/>
      <c r="E30" s="8"/>
      <c r="F30" s="8"/>
      <c r="G30" s="8"/>
      <c r="H30" s="9"/>
      <c r="K30" t="s">
        <v>13</v>
      </c>
      <c r="L30" s="19" cm="1">
        <f t="array" ref="L30">_xlfn.SINGLE(INDEX(LINEST(LN(exp!L4:L27),exp!J4:J27,TRUE,TRUE),1))</f>
        <v>7.4786558496673219E-2</v>
      </c>
    </row>
    <row r="31" spans="2:15" ht="14" customHeight="1" x14ac:dyDescent="0.35">
      <c r="B31" s="7"/>
      <c r="C31" s="8"/>
      <c r="D31" s="8"/>
      <c r="E31" s="8"/>
      <c r="F31" s="8"/>
      <c r="G31" s="8"/>
      <c r="H31" s="9"/>
      <c r="K31" t="s">
        <v>16</v>
      </c>
      <c r="L31" s="17">
        <f>AVERAGE(N4:N27)</f>
        <v>393610.06229368347</v>
      </c>
    </row>
    <row r="32" spans="2:15" ht="14" customHeight="1" x14ac:dyDescent="0.35">
      <c r="B32" s="7"/>
      <c r="C32" s="8"/>
      <c r="D32" s="8"/>
      <c r="E32" s="8"/>
      <c r="F32" s="8"/>
      <c r="G32" s="8"/>
      <c r="H32" s="9"/>
      <c r="K32" t="s">
        <v>6</v>
      </c>
      <c r="L32" s="19">
        <f>RSQ(M4:M27,L4:L27)</f>
        <v>0.184563623327507</v>
      </c>
    </row>
    <row r="33" spans="1:15" ht="14" customHeight="1" x14ac:dyDescent="0.35">
      <c r="B33" s="7"/>
      <c r="C33" s="8"/>
      <c r="D33" s="8"/>
      <c r="E33" s="8"/>
      <c r="F33" s="8"/>
      <c r="G33" s="8"/>
      <c r="H33" s="9"/>
    </row>
    <row r="34" spans="1:15" ht="14" customHeight="1" x14ac:dyDescent="0.35">
      <c r="B34" s="7"/>
      <c r="C34" s="8"/>
      <c r="D34" s="8"/>
      <c r="E34" s="8"/>
      <c r="F34" s="8"/>
      <c r="G34" s="8"/>
      <c r="H34" s="9"/>
    </row>
    <row r="35" spans="1:15" ht="14" customHeight="1" x14ac:dyDescent="0.35">
      <c r="B35" s="7"/>
      <c r="C35" s="8"/>
      <c r="D35" s="8"/>
      <c r="E35" s="8"/>
      <c r="F35" s="8"/>
      <c r="G35" s="8"/>
      <c r="H35" s="9"/>
    </row>
    <row r="36" spans="1:15" ht="14" customHeight="1" x14ac:dyDescent="0.35">
      <c r="B36" s="7"/>
      <c r="C36" s="8"/>
      <c r="D36" s="8"/>
      <c r="E36" s="8"/>
      <c r="F36" s="8"/>
      <c r="G36" s="8"/>
      <c r="H36" s="9"/>
    </row>
    <row r="37" spans="1:15" ht="14" customHeight="1" x14ac:dyDescent="0.35">
      <c r="A37" s="1"/>
      <c r="B37" s="10" t="s">
        <v>5</v>
      </c>
      <c r="C37" s="11"/>
      <c r="D37" s="11"/>
      <c r="E37" s="11"/>
      <c r="F37" s="11"/>
      <c r="G37" s="11"/>
      <c r="H37" s="12"/>
      <c r="I37" s="1"/>
      <c r="J37" s="1"/>
      <c r="K37" s="1"/>
      <c r="L37" s="18"/>
      <c r="M37" s="18"/>
      <c r="N37" s="18"/>
      <c r="O37" s="1"/>
    </row>
    <row r="38" spans="1:15" ht="14" customHeight="1" thickBot="1" x14ac:dyDescent="0.4">
      <c r="B38" s="13"/>
      <c r="C38" s="14"/>
      <c r="D38" s="14"/>
      <c r="E38" s="14"/>
      <c r="F38" s="14"/>
      <c r="G38" s="14"/>
      <c r="H38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8"/>
  <sheetViews>
    <sheetView zoomScale="60" zoomScaleNormal="60" workbookViewId="0"/>
  </sheetViews>
  <sheetFormatPr defaultRowHeight="14.5" x14ac:dyDescent="0.35"/>
  <cols>
    <col min="1" max="1" width="2.81640625" customWidth="1"/>
    <col min="9" max="9" width="1.81640625" customWidth="1"/>
    <col min="10" max="10" width="3.1796875" customWidth="1"/>
    <col min="12" max="14" width="11.453125" style="17" customWidth="1"/>
  </cols>
  <sheetData>
    <row r="1" spans="2:20" s="3" customFormat="1" ht="19" thickBot="1" x14ac:dyDescent="0.5">
      <c r="K1" s="2" t="s">
        <v>19</v>
      </c>
      <c r="L1" s="16"/>
      <c r="M1" s="16"/>
      <c r="N1" s="16"/>
      <c r="T1" s="2"/>
    </row>
    <row r="2" spans="2:20" x14ac:dyDescent="0.35">
      <c r="B2" s="4"/>
      <c r="C2" s="5"/>
      <c r="D2" s="5"/>
      <c r="E2" s="5"/>
      <c r="F2" s="5"/>
      <c r="G2" s="5"/>
      <c r="H2" s="6"/>
    </row>
    <row r="3" spans="2:20" x14ac:dyDescent="0.35">
      <c r="B3" s="7"/>
      <c r="C3" s="8"/>
      <c r="D3" s="8"/>
      <c r="E3" s="8"/>
      <c r="F3" s="8"/>
      <c r="G3" s="8"/>
      <c r="H3" s="9"/>
      <c r="J3" t="s">
        <v>7</v>
      </c>
      <c r="K3" t="s">
        <v>20</v>
      </c>
      <c r="L3" s="17" t="s">
        <v>21</v>
      </c>
      <c r="M3" s="17" t="s">
        <v>8</v>
      </c>
      <c r="N3" s="17" t="s">
        <v>9</v>
      </c>
    </row>
    <row r="4" spans="2:20" x14ac:dyDescent="0.35">
      <c r="B4" s="7"/>
      <c r="C4" s="8"/>
      <c r="D4" s="8"/>
      <c r="E4" s="8"/>
      <c r="F4" s="8"/>
      <c r="G4" s="8"/>
      <c r="H4" s="9"/>
      <c r="J4">
        <v>1</v>
      </c>
      <c r="K4" t="s">
        <v>22</v>
      </c>
      <c r="L4" s="17">
        <v>87952.607231040398</v>
      </c>
      <c r="M4" s="17">
        <f t="shared" ref="M4:M27" si="0">(L$29*LN(J4))+L$30</f>
        <v>-11180.911048143869</v>
      </c>
      <c r="N4" s="17">
        <f>SQRT((M4-L4)^2)</f>
        <v>99133.518279184267</v>
      </c>
    </row>
    <row r="5" spans="2:20" x14ac:dyDescent="0.35">
      <c r="B5" s="7"/>
      <c r="C5" s="8"/>
      <c r="D5" s="8"/>
      <c r="E5" s="8"/>
      <c r="F5" s="8"/>
      <c r="G5" s="8"/>
      <c r="H5" s="9"/>
      <c r="J5">
        <v>2</v>
      </c>
      <c r="K5" t="s">
        <v>23</v>
      </c>
      <c r="L5" s="17">
        <v>727950.47150734137</v>
      </c>
      <c r="M5" s="17">
        <f t="shared" si="0"/>
        <v>191474.37040545986</v>
      </c>
      <c r="N5" s="17">
        <f t="shared" ref="N5:N27" si="1">SQRT((M5-L5)^2)</f>
        <v>536476.10110188148</v>
      </c>
    </row>
    <row r="6" spans="2:20" x14ac:dyDescent="0.35">
      <c r="B6" s="7"/>
      <c r="C6" s="8"/>
      <c r="D6" s="8"/>
      <c r="E6" s="8"/>
      <c r="F6" s="8"/>
      <c r="G6" s="8"/>
      <c r="H6" s="9"/>
      <c r="J6">
        <v>3</v>
      </c>
      <c r="K6" t="s">
        <v>24</v>
      </c>
      <c r="L6" s="17">
        <v>379629.09222031938</v>
      </c>
      <c r="M6" s="17">
        <f t="shared" si="0"/>
        <v>310020.11062890972</v>
      </c>
      <c r="N6" s="17">
        <f t="shared" si="1"/>
        <v>69608.981591409654</v>
      </c>
    </row>
    <row r="7" spans="2:20" x14ac:dyDescent="0.35">
      <c r="B7" s="7"/>
      <c r="C7" s="8"/>
      <c r="D7" s="8"/>
      <c r="E7" s="8"/>
      <c r="F7" s="8"/>
      <c r="G7" s="8"/>
      <c r="H7" s="9"/>
      <c r="J7">
        <v>4</v>
      </c>
      <c r="K7" t="s">
        <v>25</v>
      </c>
      <c r="L7" s="17">
        <v>240830.13923244458</v>
      </c>
      <c r="M7" s="17">
        <f t="shared" si="0"/>
        <v>394129.6518590636</v>
      </c>
      <c r="N7" s="17">
        <f t="shared" si="1"/>
        <v>153299.51262661902</v>
      </c>
    </row>
    <row r="8" spans="2:20" x14ac:dyDescent="0.35">
      <c r="B8" s="7"/>
      <c r="C8" s="8"/>
      <c r="D8" s="8"/>
      <c r="E8" s="8"/>
      <c r="F8" s="8"/>
      <c r="G8" s="8"/>
      <c r="H8" s="9"/>
      <c r="J8">
        <v>5</v>
      </c>
      <c r="K8" t="s">
        <v>26</v>
      </c>
      <c r="L8" s="17">
        <v>135238.02977699981</v>
      </c>
      <c r="M8" s="17">
        <f t="shared" si="0"/>
        <v>459370.08053628448</v>
      </c>
      <c r="N8" s="17">
        <f t="shared" si="1"/>
        <v>324132.05075928464</v>
      </c>
    </row>
    <row r="9" spans="2:20" x14ac:dyDescent="0.35">
      <c r="B9" s="7"/>
      <c r="C9" s="8"/>
      <c r="D9" s="8"/>
      <c r="E9" s="8"/>
      <c r="F9" s="8"/>
      <c r="G9" s="8"/>
      <c r="H9" s="9"/>
      <c r="J9">
        <v>6</v>
      </c>
      <c r="K9" t="s">
        <v>27</v>
      </c>
      <c r="L9" s="17">
        <v>228519.57362326788</v>
      </c>
      <c r="M9" s="17">
        <f t="shared" si="0"/>
        <v>512675.39208251343</v>
      </c>
      <c r="N9" s="17">
        <f t="shared" si="1"/>
        <v>284155.81845924555</v>
      </c>
    </row>
    <row r="10" spans="2:20" x14ac:dyDescent="0.35">
      <c r="B10" s="7"/>
      <c r="C10" s="8"/>
      <c r="D10" s="8"/>
      <c r="E10" s="8"/>
      <c r="F10" s="8"/>
      <c r="G10" s="8"/>
      <c r="H10" s="9"/>
      <c r="J10">
        <v>7</v>
      </c>
      <c r="K10" t="s">
        <v>28</v>
      </c>
      <c r="L10" s="17">
        <v>82948.955202161422</v>
      </c>
      <c r="M10" s="17">
        <f t="shared" si="0"/>
        <v>557744.39082159975</v>
      </c>
      <c r="N10" s="17">
        <f t="shared" si="1"/>
        <v>474795.4356194383</v>
      </c>
    </row>
    <row r="11" spans="2:20" x14ac:dyDescent="0.35">
      <c r="B11" s="7"/>
      <c r="C11" s="8"/>
      <c r="D11" s="8"/>
      <c r="E11" s="8"/>
      <c r="F11" s="8"/>
      <c r="G11" s="8"/>
      <c r="H11" s="9"/>
      <c r="J11">
        <v>8</v>
      </c>
      <c r="K11" t="s">
        <v>29</v>
      </c>
      <c r="L11" s="17">
        <v>1381407.561087</v>
      </c>
      <c r="M11" s="17">
        <f t="shared" si="0"/>
        <v>596784.9333126673</v>
      </c>
      <c r="N11" s="17">
        <f t="shared" si="1"/>
        <v>784622.62777433265</v>
      </c>
    </row>
    <row r="12" spans="2:20" x14ac:dyDescent="0.35">
      <c r="B12" s="7"/>
      <c r="C12" s="8"/>
      <c r="D12" s="8"/>
      <c r="E12" s="8"/>
      <c r="F12" s="8"/>
      <c r="G12" s="8"/>
      <c r="H12" s="9"/>
      <c r="J12">
        <v>9</v>
      </c>
      <c r="K12" t="s">
        <v>30</v>
      </c>
      <c r="L12" s="17">
        <v>234989.12240507183</v>
      </c>
      <c r="M12" s="17">
        <f t="shared" si="0"/>
        <v>631221.13230596331</v>
      </c>
      <c r="N12" s="17">
        <f t="shared" si="1"/>
        <v>396232.00990089145</v>
      </c>
    </row>
    <row r="13" spans="2:20" x14ac:dyDescent="0.35">
      <c r="B13" s="7"/>
      <c r="C13" s="8"/>
      <c r="D13" s="8"/>
      <c r="E13" s="8"/>
      <c r="F13" s="8"/>
      <c r="G13" s="8"/>
      <c r="H13" s="9"/>
      <c r="J13">
        <v>10</v>
      </c>
      <c r="K13" t="s">
        <v>31</v>
      </c>
      <c r="L13" s="17">
        <v>65283.810096418427</v>
      </c>
      <c r="M13" s="17">
        <f t="shared" si="0"/>
        <v>662025.36198988836</v>
      </c>
      <c r="N13" s="17">
        <f t="shared" si="1"/>
        <v>596741.55189346988</v>
      </c>
    </row>
    <row r="14" spans="2:20" x14ac:dyDescent="0.35">
      <c r="B14" s="7"/>
      <c r="C14" s="8"/>
      <c r="D14" s="8"/>
      <c r="E14" s="8"/>
      <c r="F14" s="8"/>
      <c r="G14" s="8"/>
      <c r="H14" s="9"/>
      <c r="J14">
        <v>11</v>
      </c>
      <c r="K14" t="s">
        <v>32</v>
      </c>
      <c r="L14" s="17">
        <v>130810.18523888892</v>
      </c>
      <c r="M14" s="17">
        <f t="shared" si="0"/>
        <v>689891.17729629367</v>
      </c>
      <c r="N14" s="17">
        <f t="shared" si="1"/>
        <v>559080.99205740471</v>
      </c>
    </row>
    <row r="15" spans="2:20" x14ac:dyDescent="0.35">
      <c r="B15" s="7"/>
      <c r="C15" s="8"/>
      <c r="D15" s="8"/>
      <c r="E15" s="8"/>
      <c r="F15" s="8"/>
      <c r="G15" s="8"/>
      <c r="H15" s="9"/>
      <c r="J15">
        <v>12</v>
      </c>
      <c r="K15" t="s">
        <v>33</v>
      </c>
      <c r="L15" s="17">
        <v>1905045.7055257559</v>
      </c>
      <c r="M15" s="17">
        <f t="shared" si="0"/>
        <v>715330.67353611719</v>
      </c>
      <c r="N15" s="17">
        <f t="shared" si="1"/>
        <v>1189715.0319896387</v>
      </c>
    </row>
    <row r="16" spans="2:20" x14ac:dyDescent="0.35">
      <c r="B16" s="7"/>
      <c r="C16" s="8"/>
      <c r="D16" s="8"/>
      <c r="E16" s="8"/>
      <c r="F16" s="8"/>
      <c r="G16" s="8"/>
      <c r="H16" s="9"/>
      <c r="J16">
        <v>13</v>
      </c>
      <c r="K16" t="s">
        <v>34</v>
      </c>
      <c r="L16" s="17">
        <v>449347.66668781661</v>
      </c>
      <c r="M16" s="17">
        <f t="shared" si="0"/>
        <v>738732.74153383332</v>
      </c>
      <c r="N16" s="17">
        <f t="shared" si="1"/>
        <v>289385.07484601671</v>
      </c>
    </row>
    <row r="17" spans="2:28" x14ac:dyDescent="0.35">
      <c r="B17" s="7"/>
      <c r="C17" s="8"/>
      <c r="D17" s="8"/>
      <c r="E17" s="8"/>
      <c r="F17" s="8"/>
      <c r="G17" s="8"/>
      <c r="H17" s="9"/>
      <c r="J17">
        <v>14</v>
      </c>
      <c r="K17" t="s">
        <v>35</v>
      </c>
      <c r="L17" s="17">
        <v>426973.78122560366</v>
      </c>
      <c r="M17" s="17">
        <f t="shared" si="0"/>
        <v>760399.6722752034</v>
      </c>
      <c r="N17" s="17">
        <f t="shared" si="1"/>
        <v>333425.89104959974</v>
      </c>
    </row>
    <row r="18" spans="2:28" x14ac:dyDescent="0.35">
      <c r="B18" s="7"/>
      <c r="C18" s="8"/>
      <c r="D18" s="8"/>
      <c r="E18" s="8"/>
      <c r="F18" s="8"/>
      <c r="G18" s="8"/>
      <c r="H18" s="9"/>
      <c r="J18">
        <v>15</v>
      </c>
      <c r="K18" t="s">
        <v>36</v>
      </c>
      <c r="L18" s="17">
        <v>774251.14242330764</v>
      </c>
      <c r="M18" s="17">
        <f t="shared" si="0"/>
        <v>780571.10221333802</v>
      </c>
      <c r="N18" s="17">
        <f t="shared" si="1"/>
        <v>6319.9597900303779</v>
      </c>
    </row>
    <row r="19" spans="2:28" x14ac:dyDescent="0.35">
      <c r="B19" s="7"/>
      <c r="C19" s="8"/>
      <c r="D19" s="8"/>
      <c r="E19" s="8"/>
      <c r="F19" s="8"/>
      <c r="G19" s="8"/>
      <c r="H19" s="9"/>
      <c r="J19">
        <v>16</v>
      </c>
      <c r="K19" t="s">
        <v>37</v>
      </c>
      <c r="L19" s="17">
        <v>445586.95325720625</v>
      </c>
      <c r="M19" s="17">
        <f t="shared" si="0"/>
        <v>799440.21476627106</v>
      </c>
      <c r="N19" s="17">
        <f t="shared" si="1"/>
        <v>353853.26150906482</v>
      </c>
    </row>
    <row r="20" spans="2:28" ht="18.5" x14ac:dyDescent="0.45">
      <c r="B20" s="7"/>
      <c r="C20" s="8"/>
      <c r="D20" s="8"/>
      <c r="E20" s="8"/>
      <c r="F20" s="8"/>
      <c r="G20" s="8"/>
      <c r="H20" s="9"/>
      <c r="J20">
        <v>17</v>
      </c>
      <c r="K20" t="s">
        <v>38</v>
      </c>
      <c r="L20" s="17">
        <v>252397.66153609121</v>
      </c>
      <c r="M20" s="17">
        <f t="shared" si="0"/>
        <v>817165.02147659054</v>
      </c>
      <c r="N20" s="17">
        <f t="shared" si="1"/>
        <v>564767.3599404993</v>
      </c>
      <c r="O20" s="3"/>
      <c r="P20" s="3"/>
      <c r="Q20" s="3"/>
      <c r="R20" s="3"/>
      <c r="S20" s="3"/>
      <c r="Y20" s="3"/>
      <c r="Z20" s="3"/>
      <c r="AA20" s="3"/>
      <c r="AB20" s="3"/>
    </row>
    <row r="21" spans="2:28" x14ac:dyDescent="0.35">
      <c r="B21" s="7"/>
      <c r="C21" s="8"/>
      <c r="D21" s="8"/>
      <c r="E21" s="8"/>
      <c r="F21" s="8"/>
      <c r="G21" s="8"/>
      <c r="H21" s="9"/>
      <c r="J21">
        <v>18</v>
      </c>
      <c r="K21" t="s">
        <v>39</v>
      </c>
      <c r="L21" s="17">
        <v>1598646.6400996149</v>
      </c>
      <c r="M21" s="17">
        <f t="shared" si="0"/>
        <v>833876.41375956696</v>
      </c>
      <c r="N21" s="17">
        <f t="shared" si="1"/>
        <v>764770.2263400479</v>
      </c>
    </row>
    <row r="22" spans="2:28" x14ac:dyDescent="0.35">
      <c r="B22" s="7"/>
      <c r="C22" s="8"/>
      <c r="D22" s="8"/>
      <c r="E22" s="8"/>
      <c r="F22" s="8"/>
      <c r="G22" s="8"/>
      <c r="H22" s="9"/>
      <c r="J22">
        <v>19</v>
      </c>
      <c r="K22" t="s">
        <v>40</v>
      </c>
      <c r="L22" s="17">
        <v>408842.58542053361</v>
      </c>
      <c r="M22" s="17">
        <f t="shared" si="0"/>
        <v>849684.034783273</v>
      </c>
      <c r="N22" s="17">
        <f t="shared" si="1"/>
        <v>440841.4493627394</v>
      </c>
    </row>
    <row r="23" spans="2:28" x14ac:dyDescent="0.35">
      <c r="B23" s="7"/>
      <c r="C23" s="8"/>
      <c r="D23" s="8"/>
      <c r="E23" s="8"/>
      <c r="F23" s="8"/>
      <c r="G23" s="8"/>
      <c r="H23" s="9"/>
      <c r="J23">
        <v>20</v>
      </c>
      <c r="K23" t="s">
        <v>41</v>
      </c>
      <c r="L23" s="17">
        <v>2329023.4264592025</v>
      </c>
      <c r="M23" s="17">
        <f t="shared" si="0"/>
        <v>864680.64344349201</v>
      </c>
      <c r="N23" s="17">
        <f t="shared" si="1"/>
        <v>1464342.7830157105</v>
      </c>
    </row>
    <row r="24" spans="2:28" x14ac:dyDescent="0.35">
      <c r="B24" s="7"/>
      <c r="C24" s="8"/>
      <c r="D24" s="8"/>
      <c r="E24" s="8"/>
      <c r="F24" s="8"/>
      <c r="G24" s="8"/>
      <c r="H24" s="9"/>
      <c r="J24">
        <v>21</v>
      </c>
      <c r="K24" t="s">
        <v>42</v>
      </c>
      <c r="L24" s="17">
        <v>356866.32589210744</v>
      </c>
      <c r="M24" s="17">
        <f t="shared" si="0"/>
        <v>878945.41249865328</v>
      </c>
      <c r="N24" s="17">
        <f t="shared" si="1"/>
        <v>522079.08660654584</v>
      </c>
    </row>
    <row r="25" spans="2:28" x14ac:dyDescent="0.35">
      <c r="B25" s="7"/>
      <c r="C25" s="8"/>
      <c r="D25" s="8"/>
      <c r="E25" s="8"/>
      <c r="F25" s="8"/>
      <c r="G25" s="8"/>
      <c r="H25" s="9"/>
      <c r="J25">
        <v>22</v>
      </c>
      <c r="K25" t="s">
        <v>43</v>
      </c>
      <c r="L25" s="17">
        <v>1225000.0118695311</v>
      </c>
      <c r="M25" s="17">
        <f t="shared" si="0"/>
        <v>892546.45874989743</v>
      </c>
      <c r="N25" s="17">
        <f t="shared" si="1"/>
        <v>332453.5531196337</v>
      </c>
    </row>
    <row r="26" spans="2:28" x14ac:dyDescent="0.35">
      <c r="B26" s="7"/>
      <c r="C26" s="8"/>
      <c r="D26" s="8"/>
      <c r="E26" s="8"/>
      <c r="F26" s="8"/>
      <c r="G26" s="8"/>
      <c r="H26" s="9"/>
      <c r="J26">
        <v>23</v>
      </c>
      <c r="K26" t="s">
        <v>44</v>
      </c>
      <c r="L26" s="17">
        <v>550165.27004080685</v>
      </c>
      <c r="M26" s="17">
        <f t="shared" si="0"/>
        <v>905542.81032940443</v>
      </c>
      <c r="N26" s="17">
        <f t="shared" si="1"/>
        <v>355377.54028859758</v>
      </c>
    </row>
    <row r="27" spans="2:28" x14ac:dyDescent="0.35">
      <c r="B27" s="7"/>
      <c r="C27" s="8"/>
      <c r="D27" s="8"/>
      <c r="E27" s="8"/>
      <c r="F27" s="8"/>
      <c r="G27" s="8"/>
      <c r="H27" s="9"/>
      <c r="J27">
        <v>24</v>
      </c>
      <c r="K27" t="s">
        <v>45</v>
      </c>
      <c r="L27" s="17">
        <v>1331350.1264873333</v>
      </c>
      <c r="M27" s="17">
        <f t="shared" si="0"/>
        <v>917985.95498972095</v>
      </c>
      <c r="N27" s="17">
        <f t="shared" si="1"/>
        <v>413364.17149761238</v>
      </c>
    </row>
    <row r="28" spans="2:28" x14ac:dyDescent="0.35">
      <c r="B28" s="7"/>
      <c r="C28" s="8"/>
      <c r="D28" s="8"/>
      <c r="E28" s="8"/>
      <c r="F28" s="8"/>
      <c r="G28" s="8"/>
      <c r="H28" s="9"/>
    </row>
    <row r="29" spans="2:28" x14ac:dyDescent="0.35">
      <c r="B29" s="7"/>
      <c r="C29" s="8"/>
      <c r="D29" s="8"/>
      <c r="E29" s="8"/>
      <c r="F29" s="8"/>
      <c r="G29" s="8"/>
      <c r="H29" s="9"/>
      <c r="K29" t="s">
        <v>12</v>
      </c>
      <c r="L29" s="17" cm="1">
        <f t="array" ref="L29">INDEX(LINEST(L4:L27,LN(J4:J27)),1)</f>
        <v>292369.76956307126</v>
      </c>
    </row>
    <row r="30" spans="2:28" x14ac:dyDescent="0.35">
      <c r="B30" s="7"/>
      <c r="C30" s="8"/>
      <c r="D30" s="8"/>
      <c r="E30" s="8"/>
      <c r="F30" s="8"/>
      <c r="G30" s="8"/>
      <c r="H30" s="9"/>
      <c r="K30" t="s">
        <v>13</v>
      </c>
      <c r="L30" s="17" cm="1">
        <f t="array" ref="L30">INDEX(LINEST(L4:L27,LN(J4:J27)),1,2)</f>
        <v>-11180.911048143869</v>
      </c>
    </row>
    <row r="31" spans="2:28" x14ac:dyDescent="0.35">
      <c r="B31" s="7"/>
      <c r="C31" s="8"/>
      <c r="D31" s="8"/>
      <c r="E31" s="8"/>
      <c r="F31" s="8"/>
      <c r="G31" s="8"/>
      <c r="H31" s="9"/>
      <c r="K31" t="s">
        <v>17</v>
      </c>
      <c r="L31" s="19">
        <f>AVERAGE(N4:N27)</f>
        <v>471207.24955912068</v>
      </c>
    </row>
    <row r="32" spans="2:28" x14ac:dyDescent="0.35">
      <c r="B32" s="7"/>
      <c r="C32" s="8"/>
      <c r="D32" s="8"/>
      <c r="E32" s="8"/>
      <c r="F32" s="8"/>
      <c r="G32" s="8"/>
      <c r="H32" s="9"/>
      <c r="K32" t="s">
        <v>6</v>
      </c>
      <c r="L32" s="17">
        <f>RSQ(M4:M27,L4:L27)</f>
        <v>0.14750195423743415</v>
      </c>
    </row>
    <row r="33" spans="2:14" x14ac:dyDescent="0.35">
      <c r="B33" s="7"/>
      <c r="C33" s="8"/>
      <c r="D33" s="8"/>
      <c r="E33" s="8"/>
      <c r="F33" s="8"/>
      <c r="G33" s="8"/>
      <c r="H33" s="9"/>
    </row>
    <row r="34" spans="2:14" x14ac:dyDescent="0.35">
      <c r="B34" s="7"/>
      <c r="C34" s="8"/>
      <c r="D34" s="8"/>
      <c r="E34" s="8"/>
      <c r="F34" s="8"/>
      <c r="G34" s="8"/>
      <c r="H34" s="9"/>
    </row>
    <row r="35" spans="2:14" x14ac:dyDescent="0.35">
      <c r="B35" s="7"/>
      <c r="C35" s="8"/>
      <c r="D35" s="8"/>
      <c r="E35" s="8"/>
      <c r="F35" s="8"/>
      <c r="G35" s="8"/>
      <c r="H35" s="9"/>
    </row>
    <row r="36" spans="2:14" x14ac:dyDescent="0.35">
      <c r="B36" s="7"/>
      <c r="C36" s="8"/>
      <c r="D36" s="8"/>
      <c r="E36" s="8"/>
      <c r="F36" s="8"/>
      <c r="G36" s="8"/>
      <c r="H36" s="9"/>
    </row>
    <row r="37" spans="2:14" s="1" customFormat="1" ht="15.5" x14ac:dyDescent="0.35">
      <c r="B37" s="10" t="s">
        <v>5</v>
      </c>
      <c r="C37" s="11"/>
      <c r="D37" s="11"/>
      <c r="E37" s="11"/>
      <c r="F37" s="11"/>
      <c r="G37" s="11"/>
      <c r="H37" s="12"/>
      <c r="L37" s="18"/>
      <c r="M37" s="18"/>
      <c r="N37" s="18"/>
    </row>
    <row r="38" spans="2:14" ht="15" thickBot="1" x14ac:dyDescent="0.4">
      <c r="B38" s="13"/>
      <c r="C38" s="14"/>
      <c r="D38" s="14"/>
      <c r="E38" s="14"/>
      <c r="F38" s="14"/>
      <c r="G38" s="14"/>
      <c r="H38" s="15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linear</vt:lpstr>
      <vt:lpstr>power</vt:lpstr>
      <vt:lpstr>poly_2nd</vt:lpstr>
      <vt:lpstr>poly_3rd</vt:lpstr>
      <vt:lpstr>exp</vt:lpstr>
      <vt:lpstr>log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White</dc:creator>
  <cp:lastModifiedBy>White, Patrick</cp:lastModifiedBy>
  <dcterms:created xsi:type="dcterms:W3CDTF">2014-10-07T18:39:19Z</dcterms:created>
  <dcterms:modified xsi:type="dcterms:W3CDTF">2024-04-23T21:13:31Z</dcterms:modified>
</cp:coreProperties>
</file>
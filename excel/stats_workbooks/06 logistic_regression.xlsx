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A70D17BB-0672-4026-A43C-9561B8B866D6}" xr6:coauthVersionLast="47" xr6:coauthVersionMax="47" xr10:uidLastSave="{00000000-0000-0000-0000-000000000000}"/>
  <bookViews>
    <workbookView xWindow="-110" yWindow="-110" windowWidth="19420" windowHeight="10420" xr2:uid="{D2D7F610-F576-40B9-B51E-C9A70D1B4F53}"/>
  </bookViews>
  <sheets>
    <sheet name="Sheet1" sheetId="1" r:id="rId1"/>
  </sheets>
  <definedNames>
    <definedName name="solver_adj" localSheetId="0" hidden="1">Sheet1!$C$16:$C$19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Sheet1!$I$16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K3" i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3" i="1"/>
  <c r="G3" i="1" s="1"/>
  <c r="H3" i="1" s="1"/>
  <c r="I10" i="1" l="1"/>
  <c r="I9" i="1"/>
  <c r="I7" i="1"/>
  <c r="I14" i="1"/>
  <c r="I6" i="1"/>
  <c r="I8" i="1"/>
  <c r="I13" i="1"/>
  <c r="I5" i="1"/>
  <c r="I12" i="1"/>
  <c r="I11" i="1"/>
  <c r="I3" i="1"/>
  <c r="I4" i="1"/>
  <c r="I16" i="1" l="1"/>
</calcChain>
</file>

<file path=xl/sharedStrings.xml><?xml version="1.0" encoding="utf-8"?>
<sst xmlns="http://schemas.openxmlformats.org/spreadsheetml/2006/main" count="19" uniqueCount="15">
  <si>
    <t>draft</t>
  </si>
  <si>
    <t>b0</t>
  </si>
  <si>
    <t>b1</t>
  </si>
  <si>
    <t>b2</t>
  </si>
  <si>
    <t>b3</t>
  </si>
  <si>
    <t>e^logit</t>
  </si>
  <si>
    <t>probability</t>
  </si>
  <si>
    <t>log likelihood</t>
  </si>
  <si>
    <t>by default, the coefficients are used to find the prob that draft=0,</t>
  </si>
  <si>
    <t>points</t>
  </si>
  <si>
    <t>rebounds</t>
  </si>
  <si>
    <t>assists</t>
  </si>
  <si>
    <t>&lt;&lt; sum</t>
  </si>
  <si>
    <t>so we take the negative of them to find prob that draft=1</t>
  </si>
  <si>
    <t>logit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</si>
</sst>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43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3E09-EF67-4F1E-8DDF-6EEDCB144F2B}">
  <dimension ref="B2:N19"/>
  <sheetViews>
    <sheetView tabSelected="1" workbookViewId="0"/>
  </sheetViews>
  <sheetFormatPr defaultRowHeight="14.5" x14ac:dyDescent="0.35"/>
  <cols>
    <col min="1" max="1" width="3.453125" customWidth="1"/>
    <col min="2" max="5" width="11" style="1" customWidth="1"/>
    <col min="6" max="8" width="11" style="2" customWidth="1"/>
    <col min="9" max="9" width="11.81640625" style="2" customWidth="1"/>
    <col min="11" max="14" width="9.08984375" customWidth="1"/>
  </cols>
  <sheetData>
    <row r="2" spans="2:14" x14ac:dyDescent="0.35">
      <c r="B2" s="3" t="s">
        <v>0</v>
      </c>
      <c r="C2" s="3" t="s">
        <v>9</v>
      </c>
      <c r="D2" s="3" t="s">
        <v>10</v>
      </c>
      <c r="E2" s="3" t="s">
        <v>11</v>
      </c>
      <c r="F2" s="4" t="s">
        <v>14</v>
      </c>
      <c r="G2" s="4" t="s">
        <v>5</v>
      </c>
      <c r="H2" s="4" t="s">
        <v>6</v>
      </c>
      <c r="I2" s="4" t="s">
        <v>7</v>
      </c>
      <c r="K2" s="4" t="s">
        <v>1</v>
      </c>
      <c r="L2" s="4" t="s">
        <v>2</v>
      </c>
      <c r="M2" s="4" t="s">
        <v>3</v>
      </c>
      <c r="N2" s="4" t="s">
        <v>4</v>
      </c>
    </row>
    <row r="3" spans="2:14" x14ac:dyDescent="0.35">
      <c r="B3" s="1">
        <v>0</v>
      </c>
      <c r="C3" s="1">
        <v>12</v>
      </c>
      <c r="D3" s="1">
        <v>3</v>
      </c>
      <c r="E3" s="1">
        <v>6</v>
      </c>
      <c r="F3" s="2">
        <f t="shared" ref="F3:F14" si="0">$C$16+$C$17*C3+$C$18*D3+$C$19*E3</f>
        <v>0.22917148017324429</v>
      </c>
      <c r="G3" s="2">
        <f>EXP(F3)</f>
        <v>1.2575576667279267</v>
      </c>
      <c r="H3" s="2">
        <f t="shared" ref="H3:H14" si="1">IF(B3=1,G3/(1+G3),1-(G3/(1+G3)))</f>
        <v>0.44295656972049191</v>
      </c>
      <c r="I3" s="2">
        <f>LN(H3)</f>
        <v>-0.81428355049124279</v>
      </c>
      <c r="K3" s="2">
        <f>-C16</f>
        <v>3.6811756128783331</v>
      </c>
      <c r="L3" s="2">
        <f>-C17</f>
        <v>0.11282816321892571</v>
      </c>
      <c r="M3" s="2">
        <f>-C18</f>
        <v>-0.39568352361561404</v>
      </c>
      <c r="N3" s="2">
        <f>-C19</f>
        <v>-0.67953908013864062</v>
      </c>
    </row>
    <row r="4" spans="2:14" x14ac:dyDescent="0.35">
      <c r="B4" s="1">
        <v>1</v>
      </c>
      <c r="C4" s="1">
        <v>13</v>
      </c>
      <c r="D4" s="1">
        <v>4</v>
      </c>
      <c r="E4" s="1">
        <v>4</v>
      </c>
      <c r="F4" s="2">
        <f t="shared" si="0"/>
        <v>-0.84705131970734859</v>
      </c>
      <c r="G4" s="2">
        <f t="shared" ref="G4:G14" si="2">EXP(F4)</f>
        <v>0.4286771018886455</v>
      </c>
      <c r="H4" s="2">
        <f t="shared" si="1"/>
        <v>0.30005177609549005</v>
      </c>
      <c r="I4" s="2">
        <f t="shared" ref="I4:I14" si="3">LN(H4)</f>
        <v>-1.2038002322323895</v>
      </c>
    </row>
    <row r="5" spans="2:14" x14ac:dyDescent="0.35">
      <c r="B5" s="1">
        <v>0</v>
      </c>
      <c r="C5" s="1">
        <v>13</v>
      </c>
      <c r="D5" s="1">
        <v>4</v>
      </c>
      <c r="E5" s="1">
        <v>6</v>
      </c>
      <c r="F5" s="2">
        <f t="shared" si="0"/>
        <v>0.51202684056993242</v>
      </c>
      <c r="G5" s="2">
        <f t="shared" si="2"/>
        <v>1.6686698975896843</v>
      </c>
      <c r="H5" s="2">
        <f t="shared" si="1"/>
        <v>0.37471850711217225</v>
      </c>
      <c r="I5" s="2">
        <f t="shared" si="3"/>
        <v>-0.98158018258965474</v>
      </c>
      <c r="K5" t="s">
        <v>8</v>
      </c>
    </row>
    <row r="6" spans="2:14" x14ac:dyDescent="0.35">
      <c r="B6" s="1">
        <v>1</v>
      </c>
      <c r="C6" s="1">
        <v>12</v>
      </c>
      <c r="D6" s="1">
        <v>9</v>
      </c>
      <c r="E6" s="1">
        <v>9</v>
      </c>
      <c r="F6" s="2">
        <f t="shared" si="0"/>
        <v>4.6418898622828504</v>
      </c>
      <c r="G6" s="2">
        <f t="shared" si="2"/>
        <v>103.74021716535182</v>
      </c>
      <c r="H6" s="2">
        <f t="shared" si="1"/>
        <v>0.99045256896478151</v>
      </c>
      <c r="I6" s="2">
        <f t="shared" si="3"/>
        <v>-9.5932999418604347E-3</v>
      </c>
      <c r="K6" t="s">
        <v>13</v>
      </c>
    </row>
    <row r="7" spans="2:14" x14ac:dyDescent="0.35">
      <c r="B7" s="1">
        <v>1</v>
      </c>
      <c r="C7" s="1">
        <v>14</v>
      </c>
      <c r="D7" s="1">
        <v>4</v>
      </c>
      <c r="E7" s="1">
        <v>5</v>
      </c>
      <c r="F7" s="2">
        <f t="shared" si="0"/>
        <v>-0.28034040278763372</v>
      </c>
      <c r="G7" s="2">
        <f t="shared" si="2"/>
        <v>0.75552651434618212</v>
      </c>
      <c r="H7" s="2">
        <f t="shared" si="1"/>
        <v>0.43037032375871914</v>
      </c>
      <c r="I7" s="2">
        <f t="shared" si="3"/>
        <v>-0.84310922288647194</v>
      </c>
    </row>
    <row r="8" spans="2:14" x14ac:dyDescent="0.35">
      <c r="B8" s="1">
        <v>0</v>
      </c>
      <c r="C8" s="1">
        <v>14</v>
      </c>
      <c r="D8" s="1">
        <v>4</v>
      </c>
      <c r="E8" s="1">
        <v>4</v>
      </c>
      <c r="F8" s="2">
        <f t="shared" si="0"/>
        <v>-0.95987948292627445</v>
      </c>
      <c r="G8" s="2">
        <f t="shared" si="2"/>
        <v>0.38293903388602979</v>
      </c>
      <c r="H8" s="2">
        <f t="shared" si="1"/>
        <v>0.72309767494957522</v>
      </c>
      <c r="I8" s="2">
        <f t="shared" si="3"/>
        <v>-0.32421096919904968</v>
      </c>
    </row>
    <row r="9" spans="2:14" x14ac:dyDescent="0.35">
      <c r="B9" s="1">
        <v>0</v>
      </c>
      <c r="C9" s="1">
        <v>17</v>
      </c>
      <c r="D9" s="1">
        <v>2</v>
      </c>
      <c r="E9" s="1">
        <v>2</v>
      </c>
      <c r="F9" s="2">
        <f t="shared" si="0"/>
        <v>-3.4488091800915601</v>
      </c>
      <c r="G9" s="2">
        <f t="shared" si="2"/>
        <v>3.1783462231292657E-2</v>
      </c>
      <c r="H9" s="2">
        <f t="shared" si="1"/>
        <v>0.96919560799844662</v>
      </c>
      <c r="I9" s="2">
        <f t="shared" si="3"/>
        <v>-3.1288821624067618E-2</v>
      </c>
      <c r="K9" s="5"/>
      <c r="L9" s="6"/>
    </row>
    <row r="10" spans="2:14" x14ac:dyDescent="0.35">
      <c r="B10" s="1">
        <v>1</v>
      </c>
      <c r="C10" s="1">
        <v>17</v>
      </c>
      <c r="D10" s="1">
        <v>6</v>
      </c>
      <c r="E10" s="1">
        <v>5</v>
      </c>
      <c r="F10" s="2">
        <f t="shared" si="0"/>
        <v>0.172542154786818</v>
      </c>
      <c r="G10" s="2">
        <f t="shared" si="2"/>
        <v>1.188321913016078</v>
      </c>
      <c r="H10" s="2">
        <f t="shared" si="1"/>
        <v>0.54302884139119212</v>
      </c>
      <c r="I10" s="2">
        <f t="shared" si="3"/>
        <v>-0.61059284555784177</v>
      </c>
      <c r="L10" s="6"/>
    </row>
    <row r="11" spans="2:14" x14ac:dyDescent="0.35">
      <c r="B11" s="1">
        <v>1</v>
      </c>
      <c r="C11" s="1">
        <v>21</v>
      </c>
      <c r="D11" s="1">
        <v>5</v>
      </c>
      <c r="E11" s="1">
        <v>7</v>
      </c>
      <c r="F11" s="2">
        <f t="shared" si="0"/>
        <v>0.68462413857278115</v>
      </c>
      <c r="G11" s="2">
        <f t="shared" si="2"/>
        <v>1.9830263523317455</v>
      </c>
      <c r="H11" s="2">
        <f t="shared" si="1"/>
        <v>0.66476997455341647</v>
      </c>
      <c r="I11" s="2">
        <f t="shared" si="3"/>
        <v>-0.40831420109169292</v>
      </c>
      <c r="L11" s="6"/>
    </row>
    <row r="12" spans="2:14" x14ac:dyDescent="0.35">
      <c r="B12" s="1">
        <v>0</v>
      </c>
      <c r="C12" s="1">
        <v>21</v>
      </c>
      <c r="D12" s="1">
        <v>9</v>
      </c>
      <c r="E12" s="1">
        <v>3</v>
      </c>
      <c r="F12" s="2">
        <f t="shared" si="0"/>
        <v>-0.45079808751932493</v>
      </c>
      <c r="G12" s="2">
        <f t="shared" si="2"/>
        <v>0.63711947156459625</v>
      </c>
      <c r="H12" s="2">
        <f t="shared" si="1"/>
        <v>0.61082896964404143</v>
      </c>
      <c r="I12" s="2">
        <f t="shared" si="3"/>
        <v>-0.49293827774463045</v>
      </c>
      <c r="L12" s="6"/>
    </row>
    <row r="13" spans="2:14" x14ac:dyDescent="0.35">
      <c r="B13" s="1">
        <v>1</v>
      </c>
      <c r="C13" s="1">
        <v>24</v>
      </c>
      <c r="D13" s="1">
        <v>11</v>
      </c>
      <c r="E13" s="1">
        <v>11</v>
      </c>
      <c r="F13" s="2">
        <f t="shared" si="0"/>
        <v>5.4383971111642522</v>
      </c>
      <c r="G13" s="2">
        <f t="shared" si="2"/>
        <v>230.07310613147396</v>
      </c>
      <c r="H13" s="2">
        <f t="shared" si="1"/>
        <v>0.99567236526681291</v>
      </c>
      <c r="I13" s="2">
        <f t="shared" si="3"/>
        <v>-4.3370260489625743E-3</v>
      </c>
    </row>
    <row r="14" spans="2:14" x14ac:dyDescent="0.35">
      <c r="B14" s="1">
        <v>0</v>
      </c>
      <c r="C14" s="1">
        <v>24</v>
      </c>
      <c r="D14" s="1">
        <v>4</v>
      </c>
      <c r="E14" s="1">
        <v>5</v>
      </c>
      <c r="F14" s="2">
        <f t="shared" si="0"/>
        <v>-1.4086220349768905</v>
      </c>
      <c r="G14" s="2">
        <f t="shared" si="2"/>
        <v>0.24447993595287157</v>
      </c>
      <c r="H14" s="2">
        <f t="shared" si="1"/>
        <v>0.80354851139831474</v>
      </c>
      <c r="I14" s="2">
        <f t="shared" si="3"/>
        <v>-0.21871772052027202</v>
      </c>
    </row>
    <row r="16" spans="2:14" x14ac:dyDescent="0.35">
      <c r="B16" s="1" t="s">
        <v>1</v>
      </c>
      <c r="C16" s="2">
        <v>-3.6811756128783331</v>
      </c>
      <c r="I16" s="2">
        <f>SUM(I3:I14)</f>
        <v>-5.942766349928136</v>
      </c>
      <c r="J16" t="s">
        <v>12</v>
      </c>
    </row>
    <row r="17" spans="2:3" x14ac:dyDescent="0.35">
      <c r="B17" s="1" t="s">
        <v>2</v>
      </c>
      <c r="C17" s="2">
        <v>-0.11282816321892571</v>
      </c>
    </row>
    <row r="18" spans="2:3" x14ac:dyDescent="0.35">
      <c r="B18" s="1" t="s">
        <v>3</v>
      </c>
      <c r="C18" s="2">
        <v>0.39568352361561404</v>
      </c>
    </row>
    <row r="19" spans="2:3" x14ac:dyDescent="0.35">
      <c r="B19" s="1" t="s">
        <v>4</v>
      </c>
      <c r="C19" s="2">
        <v>0.67953908013864062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2024-04-19T17:16:00Z</dcterms:created>
  <dcterms:modified xsi:type="dcterms:W3CDTF">2024-04-22T15:26:15Z</dcterms:modified>
</cp:coreProperties>
</file>
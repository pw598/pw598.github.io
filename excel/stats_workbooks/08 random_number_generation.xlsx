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02 Essential Statistics in Excel\workbooks\"/>
    </mc:Choice>
  </mc:AlternateContent>
  <xr:revisionPtr revIDLastSave="0" documentId="13_ncr:1_{EFFC39DD-8420-4F03-B595-00B37B9A163C}" xr6:coauthVersionLast="47" xr6:coauthVersionMax="47" xr10:uidLastSave="{00000000-0000-0000-0000-000000000000}"/>
  <bookViews>
    <workbookView xWindow="-110" yWindow="-110" windowWidth="19420" windowHeight="10420" xr2:uid="{898D758C-C858-4B8B-9201-1B56E0A34909}"/>
  </bookViews>
  <sheets>
    <sheet name="rand, randbetween, randarray" sheetId="4" r:id="rId1"/>
    <sheet name="norminv(rand(), ...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C8" i="4"/>
  <c r="C7" i="4"/>
  <c r="C6" i="4"/>
  <c r="C5" i="4"/>
  <c r="C4" i="4"/>
  <c r="C3" i="4"/>
  <c r="F3" i="4" l="1" a="1"/>
  <c r="F3" i="4" s="1"/>
  <c r="K3" i="4" a="1"/>
  <c r="K3" i="4" s="1"/>
  <c r="C5" i="2"/>
  <c r="C19" i="2"/>
  <c r="C18" i="2"/>
  <c r="C6" i="2"/>
  <c r="C7" i="2"/>
  <c r="C8" i="2"/>
  <c r="C9" i="2"/>
  <c r="C10" i="2"/>
  <c r="C11" i="2"/>
  <c r="C12" i="2"/>
  <c r="C13" i="2"/>
  <c r="C14" i="2"/>
  <c r="C15" i="2"/>
  <c r="C16" i="2"/>
  <c r="C17" i="2"/>
  <c r="F3" i="2" l="1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<sst xmlns="http://schemas.openxmlformats.org/spreadsheetml/2006/main" count="21" uniqueCount="17">
  <si>
    <t>=RAND()</t>
  </si>
  <si>
    <t>=RANDBETWEEN(50,100)</t>
  </si>
  <si>
    <t>Formula</t>
  </si>
  <si>
    <t>Result</t>
  </si>
  <si>
    <t>=RANDARRAY(30,3,10,100,TRUE)</t>
  </si>
  <si>
    <t>=RANDARRAY(30,3,10,100,FALSE)</t>
  </si>
  <si>
    <t>desired mean:</t>
  </si>
  <si>
    <t>=RAND()*IF(RAND()&lt;0.5,-1,1)</t>
  </si>
  <si>
    <t>actual mean</t>
  </si>
  <si>
    <t>output:</t>
  </si>
  <si>
    <t>actual stdev.s</t>
  </si>
  <si>
    <t>desired stdev:</t>
  </si>
  <si>
    <t>=RANDBETWEEN(50,100)+RAND()</t>
  </si>
  <si>
    <t>=NORMINV(RAND(),0,1)</t>
  </si>
  <si>
    <t>=T.INV(RAND(),4)</t>
  </si>
  <si>
    <t>=CHISQ.INV(RAND(),4)</t>
  </si>
  <si>
    <t>=F.INV(RAND(),4,4)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</si>
</sst>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00000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0" fillId="0" borderId="0" xfId="0" quotePrefix="1"/>
    <xf numFmtId="0" fontId="0" fillId="2" borderId="0" xfId="0" applyFill="1"/>
    <xf numFmtId="43" fontId="0" fillId="2" borderId="0" xfId="1" applyFont="1" applyFill="1"/>
    <xf numFmtId="43" fontId="0" fillId="0" borderId="0" xfId="1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3" fontId="0" fillId="0" borderId="0" xfId="1" applyFont="1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3" fontId="0" fillId="2" borderId="0" xfId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quotePrefix="1" applyNumberFormat="1"/>
    <xf numFmtId="0" fontId="2" fillId="3" borderId="1" xfId="2" applyAlignment="1">
      <alignment horizontal="center"/>
    </xf>
  </cellXfs>
  <cellStyles count="3"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white\Desktop\expected%20value.xlsx" TargetMode="External"/><Relationship Id="rId1" Type="http://schemas.openxmlformats.org/officeDocument/2006/relationships/externalLinkPath" Target="/Users/pwhite/Desktop/expected%20val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0">
          <cell r="B10">
            <v>-40</v>
          </cell>
          <cell r="C10">
            <v>1.3383022576488536E-5</v>
          </cell>
        </row>
        <row r="11">
          <cell r="B11">
            <v>-39</v>
          </cell>
          <cell r="C11">
            <v>1.9865547139277272E-5</v>
          </cell>
        </row>
        <row r="12">
          <cell r="B12">
            <v>-38</v>
          </cell>
          <cell r="C12">
            <v>2.9194692579146026E-5</v>
          </cell>
        </row>
        <row r="13">
          <cell r="B13">
            <v>-37</v>
          </cell>
          <cell r="C13">
            <v>4.2478027055075142E-5</v>
          </cell>
          <cell r="G13" t="str">
            <v>Normal/Gaussian - mean = 0, stdev = 10</v>
          </cell>
        </row>
        <row r="14">
          <cell r="B14">
            <v>-36</v>
          </cell>
          <cell r="C14">
            <v>6.1190193011377187E-5</v>
          </cell>
          <cell r="G14" t="str">
            <v>Poisson - mean = 5</v>
          </cell>
        </row>
        <row r="15">
          <cell r="B15">
            <v>-35</v>
          </cell>
          <cell r="C15">
            <v>8.726826950457601E-5</v>
          </cell>
          <cell r="G15" t="str">
            <v>Binomial - n = 100 p = 0.15</v>
          </cell>
        </row>
        <row r="16">
          <cell r="B16">
            <v>-34</v>
          </cell>
          <cell r="C16">
            <v>1.2322191684730198E-4</v>
          </cell>
        </row>
        <row r="17">
          <cell r="B17">
            <v>-33</v>
          </cell>
          <cell r="C17">
            <v>1.722568939053681E-4</v>
          </cell>
        </row>
        <row r="18">
          <cell r="B18">
            <v>-32</v>
          </cell>
          <cell r="C18">
            <v>2.3840882014648405E-4</v>
          </cell>
        </row>
        <row r="19">
          <cell r="B19">
            <v>-31</v>
          </cell>
          <cell r="C19">
            <v>3.2668190561999186E-4</v>
          </cell>
        </row>
        <row r="20">
          <cell r="B20">
            <v>-30</v>
          </cell>
          <cell r="C20">
            <v>4.4318484119380076E-4</v>
          </cell>
        </row>
        <row r="21">
          <cell r="B21">
            <v>-29</v>
          </cell>
          <cell r="C21">
            <v>5.9525324197758534E-4</v>
          </cell>
        </row>
        <row r="22">
          <cell r="B22">
            <v>-28</v>
          </cell>
          <cell r="C22">
            <v>7.9154515829799694E-4</v>
          </cell>
        </row>
        <row r="23">
          <cell r="B23">
            <v>-27</v>
          </cell>
          <cell r="C23">
            <v>1.0420934814422591E-3</v>
          </cell>
        </row>
        <row r="24">
          <cell r="B24">
            <v>-26</v>
          </cell>
          <cell r="C24">
            <v>1.3582969233685612E-3</v>
          </cell>
        </row>
        <row r="25">
          <cell r="B25">
            <v>-25</v>
          </cell>
          <cell r="C25">
            <v>1.752830049356854E-3</v>
          </cell>
        </row>
        <row r="26">
          <cell r="B26">
            <v>-24</v>
          </cell>
          <cell r="C26">
            <v>2.2394530294842902E-3</v>
          </cell>
        </row>
        <row r="27">
          <cell r="B27">
            <v>-23</v>
          </cell>
          <cell r="C27">
            <v>2.8327037741601186E-3</v>
          </cell>
        </row>
        <row r="28">
          <cell r="B28">
            <v>-22</v>
          </cell>
          <cell r="C28">
            <v>3.5474592846231421E-3</v>
          </cell>
        </row>
        <row r="29">
          <cell r="B29">
            <v>-21</v>
          </cell>
          <cell r="C29">
            <v>4.3983595980427196E-3</v>
          </cell>
        </row>
        <row r="30">
          <cell r="B30">
            <v>-20</v>
          </cell>
          <cell r="C30">
            <v>5.3990966513188061E-3</v>
          </cell>
        </row>
        <row r="31">
          <cell r="B31">
            <v>-19</v>
          </cell>
          <cell r="C31">
            <v>6.5615814774676604E-3</v>
          </cell>
        </row>
        <row r="32">
          <cell r="B32">
            <v>-18</v>
          </cell>
          <cell r="C32">
            <v>7.8950158300894139E-3</v>
          </cell>
        </row>
        <row r="33">
          <cell r="B33">
            <v>-17</v>
          </cell>
          <cell r="C33">
            <v>9.4049077376886937E-3</v>
          </cell>
        </row>
        <row r="34">
          <cell r="B34">
            <v>-16</v>
          </cell>
          <cell r="C34">
            <v>1.1092083467945555E-2</v>
          </cell>
        </row>
        <row r="35">
          <cell r="B35">
            <v>-15</v>
          </cell>
          <cell r="C35">
            <v>1.2951759566589173E-2</v>
          </cell>
        </row>
        <row r="36">
          <cell r="B36">
            <v>-14</v>
          </cell>
          <cell r="C36">
            <v>1.4972746563574486E-2</v>
          </cell>
        </row>
        <row r="37">
          <cell r="B37">
            <v>-13</v>
          </cell>
          <cell r="C37">
            <v>1.7136859204780735E-2</v>
          </cell>
        </row>
        <row r="38">
          <cell r="B38">
            <v>-12</v>
          </cell>
          <cell r="C38">
            <v>1.9418605498321296E-2</v>
          </cell>
        </row>
        <row r="39">
          <cell r="B39">
            <v>-11</v>
          </cell>
          <cell r="C39">
            <v>2.1785217703255054E-2</v>
          </cell>
        </row>
        <row r="40">
          <cell r="B40">
            <v>-10</v>
          </cell>
          <cell r="C40">
            <v>2.4197072451914336E-2</v>
          </cell>
        </row>
        <row r="41">
          <cell r="B41">
            <v>-9</v>
          </cell>
          <cell r="C41">
            <v>2.6608524989875482E-2</v>
          </cell>
        </row>
        <row r="42">
          <cell r="B42">
            <v>-8</v>
          </cell>
          <cell r="C42">
            <v>2.8969155276148274E-2</v>
          </cell>
        </row>
        <row r="43">
          <cell r="B43">
            <v>-7</v>
          </cell>
          <cell r="C43">
            <v>3.1225393336676129E-2</v>
          </cell>
        </row>
        <row r="44">
          <cell r="B44">
            <v>-6</v>
          </cell>
          <cell r="C44">
            <v>3.3322460289179963E-2</v>
          </cell>
        </row>
        <row r="45">
          <cell r="B45">
            <v>-5</v>
          </cell>
          <cell r="C45">
            <v>3.5206532676429952E-2</v>
          </cell>
        </row>
        <row r="46">
          <cell r="B46">
            <v>-4</v>
          </cell>
          <cell r="C46">
            <v>3.6827014030332332E-2</v>
          </cell>
        </row>
        <row r="47">
          <cell r="B47">
            <v>-3</v>
          </cell>
          <cell r="C47">
            <v>3.8138781546052408E-2</v>
          </cell>
        </row>
        <row r="48">
          <cell r="B48">
            <v>-2</v>
          </cell>
          <cell r="C48">
            <v>3.9104269397545591E-2</v>
          </cell>
        </row>
        <row r="49">
          <cell r="B49">
            <v>-1</v>
          </cell>
          <cell r="C49">
            <v>3.9695254747701178E-2</v>
          </cell>
        </row>
        <row r="50">
          <cell r="B50">
            <v>0</v>
          </cell>
          <cell r="C50">
            <v>3.9894228040143274E-2</v>
          </cell>
          <cell r="D50">
            <v>6.737946999085467E-3</v>
          </cell>
          <cell r="E50">
            <v>8.7476736301086376E-8</v>
          </cell>
        </row>
        <row r="51">
          <cell r="B51">
            <v>1</v>
          </cell>
          <cell r="C51">
            <v>3.9695254747701178E-2</v>
          </cell>
          <cell r="D51">
            <v>3.368973499542733E-2</v>
          </cell>
          <cell r="E51">
            <v>1.5437071111956413E-6</v>
          </cell>
        </row>
        <row r="52">
          <cell r="B52">
            <v>2</v>
          </cell>
          <cell r="C52">
            <v>3.9104269397545591E-2</v>
          </cell>
          <cell r="D52">
            <v>8.4224337488568335E-2</v>
          </cell>
          <cell r="E52">
            <v>1.3484735647797155E-5</v>
          </cell>
        </row>
        <row r="53">
          <cell r="B53">
            <v>3</v>
          </cell>
          <cell r="C53">
            <v>3.8138781546052408E-2</v>
          </cell>
          <cell r="D53">
            <v>0.14037389581428059</v>
          </cell>
          <cell r="E53">
            <v>7.7735534910830785E-5</v>
          </cell>
        </row>
        <row r="54">
          <cell r="B54">
            <v>4</v>
          </cell>
          <cell r="C54">
            <v>3.6827014030332332E-2</v>
          </cell>
          <cell r="D54">
            <v>0.17546736976785074</v>
          </cell>
          <cell r="E54">
            <v>3.3266236263311397E-4</v>
          </cell>
        </row>
        <row r="55">
          <cell r="B55">
            <v>5</v>
          </cell>
          <cell r="C55">
            <v>3.5206532676429952E-2</v>
          </cell>
          <cell r="D55">
            <v>0.17546736976785071</v>
          </cell>
          <cell r="E55">
            <v>1.1271383580980841E-3</v>
          </cell>
        </row>
        <row r="56">
          <cell r="B56">
            <v>6</v>
          </cell>
          <cell r="C56">
            <v>3.3322460289179963E-2</v>
          </cell>
          <cell r="D56">
            <v>0.14622280813987559</v>
          </cell>
          <cell r="E56">
            <v>3.1493571770387571E-3</v>
          </cell>
        </row>
        <row r="57">
          <cell r="B57">
            <v>7</v>
          </cell>
          <cell r="C57">
            <v>3.1225393336676129E-2</v>
          </cell>
          <cell r="D57">
            <v>0.104444862957054</v>
          </cell>
          <cell r="E57">
            <v>7.4631825539909977E-3</v>
          </cell>
        </row>
        <row r="58">
          <cell r="B58">
            <v>8</v>
          </cell>
          <cell r="C58">
            <v>2.8969155276148274E-2</v>
          </cell>
          <cell r="D58">
            <v>6.5278039348158706E-2</v>
          </cell>
          <cell r="E58">
            <v>1.5310499504143323E-2</v>
          </cell>
        </row>
        <row r="59">
          <cell r="B59">
            <v>9</v>
          </cell>
          <cell r="C59">
            <v>2.6608524989875482E-2</v>
          </cell>
          <cell r="D59">
            <v>3.6265577415643749E-2</v>
          </cell>
          <cell r="E59">
            <v>2.7618940281984024E-2</v>
          </cell>
        </row>
        <row r="60">
          <cell r="B60">
            <v>10</v>
          </cell>
          <cell r="C60">
            <v>2.4197072451914336E-2</v>
          </cell>
          <cell r="D60">
            <v>1.8132788707821874E-2</v>
          </cell>
          <cell r="E60">
            <v>4.435276880577433E-2</v>
          </cell>
        </row>
        <row r="61">
          <cell r="B61">
            <v>11</v>
          </cell>
          <cell r="C61">
            <v>2.1785217703255054E-2</v>
          </cell>
          <cell r="D61">
            <v>8.2421766853735742E-3</v>
          </cell>
          <cell r="E61">
            <v>6.4038757099246349E-2</v>
          </cell>
        </row>
        <row r="62">
          <cell r="B62">
            <v>12</v>
          </cell>
          <cell r="C62">
            <v>1.9418605498321296E-2</v>
          </cell>
          <cell r="D62">
            <v>3.4342402855723282E-3</v>
          </cell>
          <cell r="E62">
            <v>8.3815432085778338E-2</v>
          </cell>
        </row>
        <row r="63">
          <cell r="B63">
            <v>13</v>
          </cell>
          <cell r="C63">
            <v>1.7136859204780735E-2</v>
          </cell>
          <cell r="D63">
            <v>1.3208616482970471E-3</v>
          </cell>
          <cell r="E63">
            <v>0.10012341208436869</v>
          </cell>
        </row>
        <row r="64">
          <cell r="B64">
            <v>14</v>
          </cell>
          <cell r="C64">
            <v>1.4972746563574486E-2</v>
          </cell>
          <cell r="D64">
            <v>4.7173630296323246E-4</v>
          </cell>
          <cell r="E64">
            <v>0.10979920400848836</v>
          </cell>
        </row>
        <row r="65">
          <cell r="B65">
            <v>15</v>
          </cell>
          <cell r="C65">
            <v>1.2951759566589173E-2</v>
          </cell>
          <cell r="D65">
            <v>1.5724543432107704E-4</v>
          </cell>
          <cell r="E65">
            <v>0.11109095934976466</v>
          </cell>
        </row>
        <row r="66">
          <cell r="B66">
            <v>16</v>
          </cell>
          <cell r="C66">
            <v>1.1092083467945555E-2</v>
          </cell>
          <cell r="D66">
            <v>4.9139198225336609E-5</v>
          </cell>
          <cell r="E66">
            <v>0.1041477743904044</v>
          </cell>
        </row>
        <row r="67">
          <cell r="B67">
            <v>17</v>
          </cell>
          <cell r="C67">
            <v>9.4049077376886937E-3</v>
          </cell>
          <cell r="D67">
            <v>1.4452705360393124E-5</v>
          </cell>
          <cell r="E67">
            <v>9.0813976285058454E-2</v>
          </cell>
        </row>
        <row r="68">
          <cell r="B68">
            <v>18</v>
          </cell>
          <cell r="C68">
            <v>7.8950158300894139E-3</v>
          </cell>
          <cell r="D68">
            <v>4.0146403778869831E-6</v>
          </cell>
          <cell r="E68">
            <v>7.3897647369214309E-2</v>
          </cell>
        </row>
        <row r="69">
          <cell r="B69">
            <v>19</v>
          </cell>
          <cell r="C69">
            <v>6.5615814774676604E-3</v>
          </cell>
          <cell r="D69">
            <v>1.0564843099702586E-6</v>
          </cell>
          <cell r="E69">
            <v>5.6281180349308686E-2</v>
          </cell>
        </row>
        <row r="70">
          <cell r="B70">
            <v>20</v>
          </cell>
          <cell r="C70">
            <v>5.3990966513188061E-3</v>
          </cell>
          <cell r="D70">
            <v>2.6412107749256427E-7</v>
          </cell>
          <cell r="E70">
            <v>4.02244906614177E-2</v>
          </cell>
        </row>
        <row r="71">
          <cell r="B71">
            <v>21</v>
          </cell>
          <cell r="C71">
            <v>4.3983595980427196E-3</v>
          </cell>
          <cell r="D71">
            <v>6.2885970831562693E-8</v>
          </cell>
          <cell r="E71">
            <v>2.7041674394230383E-2</v>
          </cell>
        </row>
        <row r="72">
          <cell r="B72">
            <v>22</v>
          </cell>
          <cell r="C72">
            <v>3.5474592846231421E-3</v>
          </cell>
          <cell r="D72">
            <v>1.4292266098082472E-8</v>
          </cell>
          <cell r="E72">
            <v>1.7136034308643307E-2</v>
          </cell>
        </row>
        <row r="73">
          <cell r="B73">
            <v>23</v>
          </cell>
          <cell r="C73">
            <v>2.8327037741601186E-3</v>
          </cell>
          <cell r="D73">
            <v>3.1070143691483715E-9</v>
          </cell>
          <cell r="E73">
            <v>1.0255324880364536E-2</v>
          </cell>
        </row>
        <row r="74">
          <cell r="B74">
            <v>24</v>
          </cell>
          <cell r="C74">
            <v>2.2394530294842902E-3</v>
          </cell>
          <cell r="D74">
            <v>6.4729466023924485E-10</v>
          </cell>
          <cell r="E74">
            <v>5.8063236455004989E-3</v>
          </cell>
        </row>
        <row r="75">
          <cell r="B75">
            <v>25</v>
          </cell>
          <cell r="C75">
            <v>1.752830049356854E-3</v>
          </cell>
          <cell r="D75">
            <v>1.2945893204784874E-10</v>
          </cell>
          <cell r="E75">
            <v>3.114921861586158E-3</v>
          </cell>
        </row>
        <row r="76">
          <cell r="B76">
            <v>26</v>
          </cell>
          <cell r="C76">
            <v>1.3582969233685612E-3</v>
          </cell>
          <cell r="D76">
            <v>2.4895948470740127E-11</v>
          </cell>
          <cell r="E76">
            <v>1.5856502689069816E-3</v>
          </cell>
        </row>
        <row r="77">
          <cell r="B77">
            <v>27</v>
          </cell>
          <cell r="C77">
            <v>1.0420934814422591E-3</v>
          </cell>
          <cell r="D77">
            <v>4.6103608279148155E-12</v>
          </cell>
          <cell r="E77">
            <v>7.6691581633409327E-4</v>
          </cell>
        </row>
        <row r="78">
          <cell r="B78">
            <v>28</v>
          </cell>
          <cell r="C78">
            <v>7.9154515829799694E-4</v>
          </cell>
          <cell r="D78">
            <v>8.2327871927050559E-13</v>
          </cell>
          <cell r="E78">
            <v>3.5284572222093856E-4</v>
          </cell>
        </row>
        <row r="79">
          <cell r="B79">
            <v>29</v>
          </cell>
          <cell r="C79">
            <v>5.9525324197758534E-4</v>
          </cell>
          <cell r="D79">
            <v>1.419446067707773E-13</v>
          </cell>
          <cell r="E79">
            <v>1.5459366328544172E-4</v>
          </cell>
        </row>
        <row r="80">
          <cell r="B80">
            <v>30</v>
          </cell>
          <cell r="C80">
            <v>4.4318484119380076E-4</v>
          </cell>
          <cell r="D80">
            <v>2.3657434461796165E-14</v>
          </cell>
          <cell r="E80">
            <v>6.4565588783919653E-5</v>
          </cell>
        </row>
        <row r="81">
          <cell r="B81">
            <v>31</v>
          </cell>
          <cell r="C81">
            <v>3.2668190561999186E-4</v>
          </cell>
          <cell r="D81">
            <v>3.8157152357735622E-15</v>
          </cell>
          <cell r="E81">
            <v>2.5728223234578851E-5</v>
          </cell>
        </row>
        <row r="82">
          <cell r="B82">
            <v>32</v>
          </cell>
          <cell r="C82">
            <v>2.3840882014648405E-4</v>
          </cell>
          <cell r="D82">
            <v>5.9620550558961939E-16</v>
          </cell>
          <cell r="E82">
            <v>9.7899672969813413E-6</v>
          </cell>
        </row>
        <row r="83">
          <cell r="B83">
            <v>33</v>
          </cell>
          <cell r="C83">
            <v>1.722568939053681E-4</v>
          </cell>
          <cell r="D83">
            <v>9.0334167513579496E-17</v>
          </cell>
          <cell r="E83">
            <v>3.5599881079932168E-6</v>
          </cell>
        </row>
        <row r="84">
          <cell r="B84">
            <v>34</v>
          </cell>
          <cell r="C84">
            <v>1.2322191684730198E-4</v>
          </cell>
          <cell r="D84">
            <v>1.3284436399055676E-17</v>
          </cell>
          <cell r="E84">
            <v>1.2379889441291354E-6</v>
          </cell>
        </row>
        <row r="85">
          <cell r="B85">
            <v>35</v>
          </cell>
          <cell r="C85">
            <v>8.726826950457601E-5</v>
          </cell>
          <cell r="D85">
            <v>1.8977766284365282E-18</v>
          </cell>
          <cell r="E85">
            <v>4.1196943014717197E-7</v>
          </cell>
        </row>
        <row r="86">
          <cell r="B86">
            <v>36</v>
          </cell>
          <cell r="C86">
            <v>6.1190193011377187E-5</v>
          </cell>
          <cell r="D86">
            <v>2.6358008728285044E-19</v>
          </cell>
          <cell r="E86">
            <v>1.3126476940963859E-7</v>
          </cell>
        </row>
        <row r="87">
          <cell r="B87">
            <v>37</v>
          </cell>
          <cell r="C87">
            <v>4.2478027055075142E-5</v>
          </cell>
          <cell r="D87">
            <v>3.5618930713898303E-20</v>
          </cell>
          <cell r="E87">
            <v>4.0068101314229789E-8</v>
          </cell>
        </row>
        <row r="88">
          <cell r="B88">
            <v>38</v>
          </cell>
          <cell r="C88">
            <v>2.9194692579146026E-5</v>
          </cell>
          <cell r="D88">
            <v>4.6867014097235461E-21</v>
          </cell>
          <cell r="E88">
            <v>1.1722710756020794E-8</v>
          </cell>
        </row>
        <row r="89">
          <cell r="B89">
            <v>39</v>
          </cell>
          <cell r="C89">
            <v>1.9865547139277272E-5</v>
          </cell>
          <cell r="D89">
            <v>6.0085915509275958E-22</v>
          </cell>
          <cell r="E89">
            <v>3.2887242844945163E-9</v>
          </cell>
        </row>
        <row r="90">
          <cell r="B90">
            <v>40</v>
          </cell>
          <cell r="C90">
            <v>1.3383022576488536E-5</v>
          </cell>
          <cell r="D90">
            <v>7.5107394386595207E-23</v>
          </cell>
          <cell r="E90">
            <v>8.850537412683858E-10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7A07-596F-4891-8FE6-2D98A3345740}">
  <dimension ref="B2:M32"/>
  <sheetViews>
    <sheetView tabSelected="1" workbookViewId="0"/>
  </sheetViews>
  <sheetFormatPr defaultRowHeight="14.5" x14ac:dyDescent="0.35"/>
  <cols>
    <col min="1" max="1" width="3.26953125" customWidth="1"/>
    <col min="2" max="2" width="29" bestFit="1" customWidth="1"/>
    <col min="3" max="3" width="10.26953125" style="9" customWidth="1"/>
    <col min="5" max="5" width="28" bestFit="1" customWidth="1"/>
    <col min="6" max="8" width="8.7265625" style="4"/>
    <col min="10" max="10" width="28" bestFit="1" customWidth="1"/>
  </cols>
  <sheetData>
    <row r="2" spans="2:13" x14ac:dyDescent="0.35">
      <c r="B2" s="2" t="s">
        <v>2</v>
      </c>
      <c r="C2" s="13" t="s">
        <v>3</v>
      </c>
      <c r="E2" s="2" t="s">
        <v>2</v>
      </c>
      <c r="F2" s="3" t="s">
        <v>3</v>
      </c>
      <c r="G2" s="3"/>
      <c r="H2" s="3"/>
      <c r="J2" s="2" t="s">
        <v>2</v>
      </c>
      <c r="K2" s="2" t="s">
        <v>3</v>
      </c>
      <c r="L2" s="2"/>
      <c r="M2" s="2"/>
    </row>
    <row r="3" spans="2:13" x14ac:dyDescent="0.35">
      <c r="B3" s="1" t="s">
        <v>0</v>
      </c>
      <c r="C3" s="9">
        <f ca="1">RAND()</f>
        <v>0.72132216872098365</v>
      </c>
      <c r="E3" s="1" t="s">
        <v>5</v>
      </c>
      <c r="F3" s="4" cm="1">
        <f t="array" aca="1" ref="F3:H32" ca="1">_xlfn.RANDARRAY(30,3,10,100,FALSE)</f>
        <v>26.598586161591385</v>
      </c>
      <c r="G3" s="4">
        <f ca="1"/>
        <v>39.083665523638444</v>
      </c>
      <c r="H3" s="4">
        <f ca="1"/>
        <v>49.297512209307172</v>
      </c>
      <c r="J3" s="1" t="s">
        <v>4</v>
      </c>
      <c r="K3" cm="1">
        <f t="array" aca="1" ref="K3:M32" ca="1">_xlfn.RANDARRAY(30,3,10,100,TRUE)</f>
        <v>15</v>
      </c>
      <c r="L3">
        <f ca="1"/>
        <v>32</v>
      </c>
      <c r="M3">
        <f ca="1"/>
        <v>46</v>
      </c>
    </row>
    <row r="4" spans="2:13" x14ac:dyDescent="0.35">
      <c r="B4" s="1" t="s">
        <v>7</v>
      </c>
      <c r="C4" s="9">
        <f ca="1">RAND()*IF(RAND()&lt;0.5,-1,1)</f>
        <v>0.34296046516104428</v>
      </c>
      <c r="F4" s="4">
        <f ca="1"/>
        <v>33.082838927449401</v>
      </c>
      <c r="G4" s="4">
        <f ca="1"/>
        <v>52.178858702288508</v>
      </c>
      <c r="H4" s="4">
        <f ca="1"/>
        <v>45.479647732078647</v>
      </c>
      <c r="K4">
        <f ca="1"/>
        <v>83</v>
      </c>
      <c r="L4">
        <f ca="1"/>
        <v>71</v>
      </c>
      <c r="M4">
        <f ca="1"/>
        <v>51</v>
      </c>
    </row>
    <row r="5" spans="2:13" x14ac:dyDescent="0.35">
      <c r="B5" s="1" t="s">
        <v>1</v>
      </c>
      <c r="C5" s="14">
        <f ca="1">RANDBETWEEN(50,100)</f>
        <v>78</v>
      </c>
      <c r="F5" s="4">
        <f ca="1"/>
        <v>68.896482947077061</v>
      </c>
      <c r="G5" s="4">
        <f ca="1"/>
        <v>59.203849957330618</v>
      </c>
      <c r="H5" s="4">
        <f ca="1"/>
        <v>11.207095989123232</v>
      </c>
      <c r="K5">
        <f ca="1"/>
        <v>50</v>
      </c>
      <c r="L5">
        <f ca="1"/>
        <v>22</v>
      </c>
      <c r="M5">
        <f ca="1"/>
        <v>93</v>
      </c>
    </row>
    <row r="6" spans="2:13" x14ac:dyDescent="0.35">
      <c r="B6" s="1" t="s">
        <v>12</v>
      </c>
      <c r="C6" s="9">
        <f ca="1">RANDBETWEEN(50,100)+RAND()</f>
        <v>59.041844021576374</v>
      </c>
      <c r="F6" s="4">
        <f ca="1"/>
        <v>16.59801278211927</v>
      </c>
      <c r="G6" s="4">
        <f ca="1"/>
        <v>44.630734714767868</v>
      </c>
      <c r="H6" s="4">
        <f ca="1"/>
        <v>22.144268978769318</v>
      </c>
      <c r="K6">
        <f ca="1"/>
        <v>43</v>
      </c>
      <c r="L6">
        <f ca="1"/>
        <v>38</v>
      </c>
      <c r="M6">
        <f ca="1"/>
        <v>17</v>
      </c>
    </row>
    <row r="7" spans="2:13" x14ac:dyDescent="0.35">
      <c r="B7" s="1" t="s">
        <v>13</v>
      </c>
      <c r="C7" s="9">
        <f ca="1">NORMINV(RAND(),0,1)</f>
        <v>-0.21642699731375975</v>
      </c>
      <c r="F7" s="4">
        <f ca="1"/>
        <v>68.307401866352166</v>
      </c>
      <c r="G7" s="4">
        <f ca="1"/>
        <v>11.038716080745743</v>
      </c>
      <c r="H7" s="4">
        <f ca="1"/>
        <v>20.014717332227121</v>
      </c>
      <c r="K7">
        <f ca="1"/>
        <v>78</v>
      </c>
      <c r="L7">
        <f ca="1"/>
        <v>92</v>
      </c>
      <c r="M7">
        <f ca="1"/>
        <v>68</v>
      </c>
    </row>
    <row r="8" spans="2:13" x14ac:dyDescent="0.35">
      <c r="B8" s="1" t="s">
        <v>14</v>
      </c>
      <c r="C8" s="9">
        <f ca="1">_xlfn.T.INV(RAND(),4)</f>
        <v>-0.34012465711978668</v>
      </c>
      <c r="F8" s="4">
        <f ca="1"/>
        <v>53.534797759465135</v>
      </c>
      <c r="G8" s="4">
        <f ca="1"/>
        <v>46.678456376482117</v>
      </c>
      <c r="H8" s="4">
        <f ca="1"/>
        <v>60.166146437482823</v>
      </c>
      <c r="K8">
        <f ca="1"/>
        <v>77</v>
      </c>
      <c r="L8">
        <f ca="1"/>
        <v>77</v>
      </c>
      <c r="M8">
        <f ca="1"/>
        <v>38</v>
      </c>
    </row>
    <row r="9" spans="2:13" x14ac:dyDescent="0.35">
      <c r="B9" s="15" t="s">
        <v>15</v>
      </c>
      <c r="C9" s="9">
        <f ca="1">_xlfn.CHISQ.INV(RAND(),4)</f>
        <v>0.21173610046267846</v>
      </c>
      <c r="F9" s="4">
        <f ca="1"/>
        <v>42.373062850950973</v>
      </c>
      <c r="G9" s="4">
        <f ca="1"/>
        <v>18.29419447797666</v>
      </c>
      <c r="H9" s="4">
        <f ca="1"/>
        <v>35.740516625895907</v>
      </c>
      <c r="K9">
        <f ca="1"/>
        <v>82</v>
      </c>
      <c r="L9">
        <f ca="1"/>
        <v>29</v>
      </c>
      <c r="M9">
        <f ca="1"/>
        <v>68</v>
      </c>
    </row>
    <row r="10" spans="2:13" x14ac:dyDescent="0.35">
      <c r="B10" s="1" t="s">
        <v>16</v>
      </c>
      <c r="C10" s="9">
        <f ca="1">_xlfn.F.INV(RAND(),4,4)</f>
        <v>0.23112618196495116</v>
      </c>
      <c r="F10" s="4">
        <f ca="1"/>
        <v>51.298260525334996</v>
      </c>
      <c r="G10" s="4">
        <f ca="1"/>
        <v>32.275465287931411</v>
      </c>
      <c r="H10" s="4">
        <f ca="1"/>
        <v>68.360933987293734</v>
      </c>
      <c r="K10">
        <f ca="1"/>
        <v>90</v>
      </c>
      <c r="L10">
        <f ca="1"/>
        <v>58</v>
      </c>
      <c r="M10">
        <f ca="1"/>
        <v>54</v>
      </c>
    </row>
    <row r="11" spans="2:13" x14ac:dyDescent="0.35">
      <c r="F11" s="4">
        <f ca="1"/>
        <v>50.811472841626227</v>
      </c>
      <c r="G11" s="4">
        <f ca="1"/>
        <v>35.92633733944362</v>
      </c>
      <c r="H11" s="4">
        <f ca="1"/>
        <v>14.006810096109064</v>
      </c>
      <c r="K11">
        <f ca="1"/>
        <v>66</v>
      </c>
      <c r="L11">
        <f ca="1"/>
        <v>86</v>
      </c>
      <c r="M11">
        <f ca="1"/>
        <v>11</v>
      </c>
    </row>
    <row r="12" spans="2:13" x14ac:dyDescent="0.35">
      <c r="F12" s="4">
        <f ca="1"/>
        <v>70.544061682190033</v>
      </c>
      <c r="G12" s="4">
        <f ca="1"/>
        <v>33.441271127206505</v>
      </c>
      <c r="H12" s="4">
        <f ca="1"/>
        <v>22.139232014574901</v>
      </c>
      <c r="K12">
        <f ca="1"/>
        <v>42</v>
      </c>
      <c r="L12">
        <f ca="1"/>
        <v>57</v>
      </c>
      <c r="M12">
        <f ca="1"/>
        <v>86</v>
      </c>
    </row>
    <row r="13" spans="2:13" x14ac:dyDescent="0.35">
      <c r="F13" s="4">
        <f ca="1"/>
        <v>36.90966284289469</v>
      </c>
      <c r="G13" s="4">
        <f ca="1"/>
        <v>98.964792301834649</v>
      </c>
      <c r="H13" s="4">
        <f ca="1"/>
        <v>52.649033668813203</v>
      </c>
      <c r="K13">
        <f ca="1"/>
        <v>68</v>
      </c>
      <c r="L13">
        <f ca="1"/>
        <v>47</v>
      </c>
      <c r="M13">
        <f ca="1"/>
        <v>48</v>
      </c>
    </row>
    <row r="14" spans="2:13" x14ac:dyDescent="0.35">
      <c r="F14" s="4">
        <f ca="1"/>
        <v>20.084599017359508</v>
      </c>
      <c r="G14" s="4">
        <f ca="1"/>
        <v>99.691733923266568</v>
      </c>
      <c r="H14" s="4">
        <f ca="1"/>
        <v>25.813162353877317</v>
      </c>
      <c r="K14">
        <f ca="1"/>
        <v>85</v>
      </c>
      <c r="L14">
        <f ca="1"/>
        <v>92</v>
      </c>
      <c r="M14">
        <f ca="1"/>
        <v>77</v>
      </c>
    </row>
    <row r="15" spans="2:13" x14ac:dyDescent="0.35">
      <c r="F15" s="4">
        <f ca="1"/>
        <v>35.590240253217672</v>
      </c>
      <c r="G15" s="4">
        <f ca="1"/>
        <v>12.813817144241952</v>
      </c>
      <c r="H15" s="4">
        <f ca="1"/>
        <v>67.401903776821612</v>
      </c>
      <c r="K15">
        <f ca="1"/>
        <v>92</v>
      </c>
      <c r="L15">
        <f ca="1"/>
        <v>54</v>
      </c>
      <c r="M15">
        <f ca="1"/>
        <v>47</v>
      </c>
    </row>
    <row r="16" spans="2:13" x14ac:dyDescent="0.35">
      <c r="F16" s="4">
        <f ca="1"/>
        <v>90.908751890258159</v>
      </c>
      <c r="G16" s="4">
        <f ca="1"/>
        <v>38.052036193306819</v>
      </c>
      <c r="H16" s="4">
        <f ca="1"/>
        <v>92.779216761486254</v>
      </c>
      <c r="K16">
        <f ca="1"/>
        <v>24</v>
      </c>
      <c r="L16">
        <f ca="1"/>
        <v>56</v>
      </c>
      <c r="M16">
        <f ca="1"/>
        <v>48</v>
      </c>
    </row>
    <row r="17" spans="6:13" x14ac:dyDescent="0.35">
      <c r="F17" s="4">
        <f ca="1"/>
        <v>13.712343877850842</v>
      </c>
      <c r="G17" s="4">
        <f ca="1"/>
        <v>15.712252395010623</v>
      </c>
      <c r="H17" s="4">
        <f ca="1"/>
        <v>35.506482075101474</v>
      </c>
      <c r="K17">
        <f ca="1"/>
        <v>94</v>
      </c>
      <c r="L17">
        <f ca="1"/>
        <v>68</v>
      </c>
      <c r="M17">
        <f ca="1"/>
        <v>19</v>
      </c>
    </row>
    <row r="18" spans="6:13" x14ac:dyDescent="0.35">
      <c r="F18" s="4">
        <f ca="1"/>
        <v>81.741823695435897</v>
      </c>
      <c r="G18" s="4">
        <f ca="1"/>
        <v>63.011857610055358</v>
      </c>
      <c r="H18" s="4">
        <f ca="1"/>
        <v>28.57751614453376</v>
      </c>
      <c r="K18">
        <f ca="1"/>
        <v>54</v>
      </c>
      <c r="L18">
        <f ca="1"/>
        <v>69</v>
      </c>
      <c r="M18">
        <f ca="1"/>
        <v>30</v>
      </c>
    </row>
    <row r="19" spans="6:13" x14ac:dyDescent="0.35">
      <c r="F19" s="4">
        <f ca="1"/>
        <v>44.963689917909832</v>
      </c>
      <c r="G19" s="4">
        <f ca="1"/>
        <v>12.251355968691968</v>
      </c>
      <c r="H19" s="4">
        <f ca="1"/>
        <v>58.643668973833272</v>
      </c>
      <c r="K19">
        <f ca="1"/>
        <v>17</v>
      </c>
      <c r="L19">
        <f ca="1"/>
        <v>96</v>
      </c>
      <c r="M19">
        <f ca="1"/>
        <v>88</v>
      </c>
    </row>
    <row r="20" spans="6:13" x14ac:dyDescent="0.35">
      <c r="F20" s="4">
        <f ca="1"/>
        <v>61.896914914093998</v>
      </c>
      <c r="G20" s="4">
        <f ca="1"/>
        <v>61.484188704078534</v>
      </c>
      <c r="H20" s="4">
        <f ca="1"/>
        <v>17.929400881599776</v>
      </c>
      <c r="K20">
        <f ca="1"/>
        <v>50</v>
      </c>
      <c r="L20">
        <f ca="1"/>
        <v>56</v>
      </c>
      <c r="M20">
        <f ca="1"/>
        <v>48</v>
      </c>
    </row>
    <row r="21" spans="6:13" x14ac:dyDescent="0.35">
      <c r="F21" s="4">
        <f ca="1"/>
        <v>75.528704113478256</v>
      </c>
      <c r="G21" s="4">
        <f ca="1"/>
        <v>83.443881577372537</v>
      </c>
      <c r="H21" s="4">
        <f ca="1"/>
        <v>90.411650076738226</v>
      </c>
      <c r="K21">
        <f ca="1"/>
        <v>58</v>
      </c>
      <c r="L21">
        <f ca="1"/>
        <v>12</v>
      </c>
      <c r="M21">
        <f ca="1"/>
        <v>76</v>
      </c>
    </row>
    <row r="22" spans="6:13" x14ac:dyDescent="0.35">
      <c r="F22" s="4">
        <f ca="1"/>
        <v>73.563419246951341</v>
      </c>
      <c r="G22" s="4">
        <f ca="1"/>
        <v>72.644078851923766</v>
      </c>
      <c r="H22" s="4">
        <f ca="1"/>
        <v>71.048439970247969</v>
      </c>
      <c r="K22">
        <f ca="1"/>
        <v>11</v>
      </c>
      <c r="L22">
        <f ca="1"/>
        <v>78</v>
      </c>
      <c r="M22">
        <f ca="1"/>
        <v>37</v>
      </c>
    </row>
    <row r="23" spans="6:13" x14ac:dyDescent="0.35">
      <c r="F23" s="4">
        <f ca="1"/>
        <v>48.443573946009536</v>
      </c>
      <c r="G23" s="4">
        <f ca="1"/>
        <v>14.64188329562586</v>
      </c>
      <c r="H23" s="4">
        <f ca="1"/>
        <v>59.371111888956364</v>
      </c>
      <c r="K23">
        <f ca="1"/>
        <v>20</v>
      </c>
      <c r="L23">
        <f ca="1"/>
        <v>85</v>
      </c>
      <c r="M23">
        <f ca="1"/>
        <v>81</v>
      </c>
    </row>
    <row r="24" spans="6:13" x14ac:dyDescent="0.35">
      <c r="F24" s="4">
        <f ca="1"/>
        <v>68.461084710675451</v>
      </c>
      <c r="G24" s="4">
        <f ca="1"/>
        <v>40.777918031190495</v>
      </c>
      <c r="H24" s="4">
        <f ca="1"/>
        <v>20.389710415032368</v>
      </c>
      <c r="K24">
        <f ca="1"/>
        <v>96</v>
      </c>
      <c r="L24">
        <f ca="1"/>
        <v>17</v>
      </c>
      <c r="M24">
        <f ca="1"/>
        <v>88</v>
      </c>
    </row>
    <row r="25" spans="6:13" x14ac:dyDescent="0.35">
      <c r="F25" s="4">
        <f ca="1"/>
        <v>97.941948806959658</v>
      </c>
      <c r="G25" s="4">
        <f ca="1"/>
        <v>39.765413461842613</v>
      </c>
      <c r="H25" s="4">
        <f ca="1"/>
        <v>18.481028597694504</v>
      </c>
      <c r="K25">
        <f ca="1"/>
        <v>48</v>
      </c>
      <c r="L25">
        <f ca="1"/>
        <v>11</v>
      </c>
      <c r="M25">
        <f ca="1"/>
        <v>77</v>
      </c>
    </row>
    <row r="26" spans="6:13" x14ac:dyDescent="0.35">
      <c r="F26" s="4">
        <f ca="1"/>
        <v>37.141211235632397</v>
      </c>
      <c r="G26" s="4">
        <f ca="1"/>
        <v>67.406754465070648</v>
      </c>
      <c r="H26" s="4">
        <f ca="1"/>
        <v>72.053851771170571</v>
      </c>
      <c r="K26">
        <f ca="1"/>
        <v>65</v>
      </c>
      <c r="L26">
        <f ca="1"/>
        <v>14</v>
      </c>
      <c r="M26">
        <f ca="1"/>
        <v>34</v>
      </c>
    </row>
    <row r="27" spans="6:13" x14ac:dyDescent="0.35">
      <c r="F27" s="4">
        <f ca="1"/>
        <v>47.790720939731784</v>
      </c>
      <c r="G27" s="4">
        <f ca="1"/>
        <v>36.771347168488191</v>
      </c>
      <c r="H27" s="4">
        <f ca="1"/>
        <v>78.412422394040945</v>
      </c>
      <c r="K27">
        <f ca="1"/>
        <v>25</v>
      </c>
      <c r="L27">
        <f ca="1"/>
        <v>44</v>
      </c>
      <c r="M27">
        <f ca="1"/>
        <v>61</v>
      </c>
    </row>
    <row r="28" spans="6:13" x14ac:dyDescent="0.35">
      <c r="F28" s="4">
        <f ca="1"/>
        <v>77.166671110822577</v>
      </c>
      <c r="G28" s="4">
        <f ca="1"/>
        <v>41.067645948830787</v>
      </c>
      <c r="H28" s="4">
        <f ca="1"/>
        <v>33.066389611881718</v>
      </c>
      <c r="K28">
        <f ca="1"/>
        <v>65</v>
      </c>
      <c r="L28">
        <f ca="1"/>
        <v>54</v>
      </c>
      <c r="M28">
        <f ca="1"/>
        <v>76</v>
      </c>
    </row>
    <row r="29" spans="6:13" x14ac:dyDescent="0.35">
      <c r="F29" s="4">
        <f ca="1"/>
        <v>35.759251396362814</v>
      </c>
      <c r="G29" s="4">
        <f ca="1"/>
        <v>86.40975124281978</v>
      </c>
      <c r="H29" s="4">
        <f ca="1"/>
        <v>46.832592395009016</v>
      </c>
      <c r="K29">
        <f ca="1"/>
        <v>50</v>
      </c>
      <c r="L29">
        <f ca="1"/>
        <v>64</v>
      </c>
      <c r="M29">
        <f ca="1"/>
        <v>16</v>
      </c>
    </row>
    <row r="30" spans="6:13" x14ac:dyDescent="0.35">
      <c r="F30" s="4">
        <f ca="1"/>
        <v>38.158545368744427</v>
      </c>
      <c r="G30" s="4">
        <f ca="1"/>
        <v>87.626704012801881</v>
      </c>
      <c r="H30" s="4">
        <f ca="1"/>
        <v>57.332018419895775</v>
      </c>
      <c r="K30">
        <f ca="1"/>
        <v>75</v>
      </c>
      <c r="L30">
        <f ca="1"/>
        <v>53</v>
      </c>
      <c r="M30">
        <f ca="1"/>
        <v>59</v>
      </c>
    </row>
    <row r="31" spans="6:13" x14ac:dyDescent="0.35">
      <c r="F31" s="4">
        <f ca="1"/>
        <v>24.910652459471038</v>
      </c>
      <c r="G31" s="4">
        <f ca="1"/>
        <v>80.557451842963815</v>
      </c>
      <c r="H31" s="4">
        <f ca="1"/>
        <v>52.424008796878312</v>
      </c>
      <c r="K31">
        <f ca="1"/>
        <v>16</v>
      </c>
      <c r="L31">
        <f ca="1"/>
        <v>40</v>
      </c>
      <c r="M31">
        <f ca="1"/>
        <v>20</v>
      </c>
    </row>
    <row r="32" spans="6:13" x14ac:dyDescent="0.35">
      <c r="F32" s="4">
        <f ca="1"/>
        <v>44.271916711232635</v>
      </c>
      <c r="G32" s="4">
        <f ca="1"/>
        <v>19.04513267382012</v>
      </c>
      <c r="H32" s="4">
        <f ca="1"/>
        <v>65.853963936102105</v>
      </c>
      <c r="K32">
        <f ca="1"/>
        <v>98</v>
      </c>
      <c r="L32">
        <f ca="1"/>
        <v>13</v>
      </c>
      <c r="M32">
        <f ca="1"/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21CE-9DF7-490C-81A3-ED36D53727F3}">
  <dimension ref="B2:K21"/>
  <sheetViews>
    <sheetView workbookViewId="0">
      <selection activeCell="F11" sqref="F11"/>
    </sheetView>
  </sheetViews>
  <sheetFormatPr defaultRowHeight="14.5" x14ac:dyDescent="0.35"/>
  <cols>
    <col min="1" max="1" width="3.26953125" style="5" customWidth="1"/>
    <col min="2" max="2" width="16.81640625" style="5" bestFit="1" customWidth="1"/>
    <col min="3" max="3" width="11.26953125" style="8" customWidth="1"/>
    <col min="4" max="4" width="11.08984375" style="8" customWidth="1"/>
    <col min="5" max="5" width="16.81640625" style="8" bestFit="1" customWidth="1"/>
    <col min="6" max="8" width="11.26953125" style="8" customWidth="1"/>
    <col min="9" max="9" width="16.6328125" style="10" bestFit="1" customWidth="1"/>
    <col min="10" max="10" width="8.7265625" style="8"/>
    <col min="11" max="11" width="8.7265625" style="7"/>
    <col min="12" max="12" width="8.7265625" style="5" customWidth="1"/>
    <col min="13" max="16384" width="8.7265625" style="5"/>
  </cols>
  <sheetData>
    <row r="2" spans="2:10" x14ac:dyDescent="0.35">
      <c r="B2" s="6" t="s">
        <v>6</v>
      </c>
      <c r="C2" s="16">
        <v>30</v>
      </c>
      <c r="E2" s="6" t="s">
        <v>8</v>
      </c>
      <c r="F2" s="9">
        <f ca="1">AVERAGE(C5:C19)</f>
        <v>33.963861800244338</v>
      </c>
    </row>
    <row r="3" spans="2:10" x14ac:dyDescent="0.35">
      <c r="B3" s="6" t="s">
        <v>11</v>
      </c>
      <c r="C3" s="16">
        <v>10</v>
      </c>
      <c r="E3" s="6" t="s">
        <v>10</v>
      </c>
      <c r="F3" s="9">
        <f ca="1">_xlfn.STDEV.S(C5:C19)</f>
        <v>11.722141031350642</v>
      </c>
    </row>
    <row r="5" spans="2:10" x14ac:dyDescent="0.35">
      <c r="B5" s="6" t="s">
        <v>9</v>
      </c>
      <c r="C5" s="12">
        <f ca="1">NORMINV(RAND(),$C$2,$C$3)</f>
        <v>38.609824353804015</v>
      </c>
    </row>
    <row r="6" spans="2:10" x14ac:dyDescent="0.35">
      <c r="C6" s="12">
        <f t="shared" ref="C6:C17" ca="1" si="0">NORMINV(RAND(),$C$2,$C$3)</f>
        <v>44.628983291054453</v>
      </c>
      <c r="J6" s="11"/>
    </row>
    <row r="7" spans="2:10" x14ac:dyDescent="0.35">
      <c r="C7" s="12">
        <f t="shared" ca="1" si="0"/>
        <v>15.291259937053969</v>
      </c>
    </row>
    <row r="8" spans="2:10" x14ac:dyDescent="0.35">
      <c r="C8" s="12">
        <f t="shared" ca="1" si="0"/>
        <v>14.229327472094004</v>
      </c>
    </row>
    <row r="9" spans="2:10" x14ac:dyDescent="0.35">
      <c r="C9" s="12">
        <f t="shared" ca="1" si="0"/>
        <v>33.895692462621376</v>
      </c>
    </row>
    <row r="10" spans="2:10" x14ac:dyDescent="0.35">
      <c r="C10" s="12">
        <f t="shared" ca="1" si="0"/>
        <v>40.894546025828689</v>
      </c>
    </row>
    <row r="11" spans="2:10" x14ac:dyDescent="0.35">
      <c r="C11" s="12">
        <f t="shared" ca="1" si="0"/>
        <v>45.265324172145611</v>
      </c>
    </row>
    <row r="12" spans="2:10" x14ac:dyDescent="0.35">
      <c r="C12" s="12">
        <f t="shared" ca="1" si="0"/>
        <v>17.270117637523526</v>
      </c>
    </row>
    <row r="13" spans="2:10" x14ac:dyDescent="0.35">
      <c r="C13" s="12">
        <f t="shared" ca="1" si="0"/>
        <v>39.673456741174611</v>
      </c>
    </row>
    <row r="14" spans="2:10" x14ac:dyDescent="0.35">
      <c r="C14" s="12">
        <f t="shared" ca="1" si="0"/>
        <v>29.810895625249831</v>
      </c>
    </row>
    <row r="15" spans="2:10" x14ac:dyDescent="0.35">
      <c r="C15" s="12">
        <f t="shared" ca="1" si="0"/>
        <v>33.232941578458785</v>
      </c>
    </row>
    <row r="16" spans="2:10" x14ac:dyDescent="0.35">
      <c r="C16" s="12">
        <f t="shared" ca="1" si="0"/>
        <v>39.604979970293662</v>
      </c>
    </row>
    <row r="17" spans="3:10" x14ac:dyDescent="0.35">
      <c r="C17" s="12">
        <f t="shared" ca="1" si="0"/>
        <v>55.726723529354324</v>
      </c>
    </row>
    <row r="18" spans="3:10" x14ac:dyDescent="0.35">
      <c r="C18" s="12">
        <f ca="1">NORMINV(RAND(),$C$2,$C$3)</f>
        <v>33.678435111231501</v>
      </c>
    </row>
    <row r="19" spans="3:10" x14ac:dyDescent="0.35">
      <c r="C19" s="12">
        <f ca="1">NORMINV(RAND(),$C$2,$C$3)</f>
        <v>27.645419095776738</v>
      </c>
      <c r="J19" s="5"/>
    </row>
    <row r="20" spans="3:10" x14ac:dyDescent="0.35">
      <c r="C20" s="5"/>
      <c r="J20" s="5"/>
    </row>
    <row r="21" spans="3:10" x14ac:dyDescent="0.35">
      <c r="J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rand, randbetween, randarray</vt:lpstr>
      <vt:lpstr>norminv(rand(), ...)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2024-04-22T16:19:57Z</dcterms:created>
  <dcterms:modified xsi:type="dcterms:W3CDTF">2024-06-06T17:46:12Z</dcterms:modified>
</cp:coreProperties>
</file>
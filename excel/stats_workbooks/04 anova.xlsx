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"/>
    </mc:Choice>
  </mc:AlternateContent>
  <xr:revisionPtr revIDLastSave="0" documentId="13_ncr:1_{F73AE55B-FA36-4707-BA62-A27E3CA744F8}" xr6:coauthVersionLast="47" xr6:coauthVersionMax="47" xr10:uidLastSave="{00000000-0000-0000-0000-000000000000}"/>
  <bookViews>
    <workbookView xWindow="-110" yWindow="-110" windowWidth="19420" windowHeight="10420" xr2:uid="{4CC89D17-5A4F-4FEE-A6BF-5F40F29B94AF}"/>
  </bookViews>
  <sheets>
    <sheet name="one-way" sheetId="1" r:id="rId1"/>
    <sheet name="tukey" sheetId="2" r:id="rId2"/>
    <sheet name="two-w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G17" i="2"/>
  <c r="G18" i="2"/>
  <c r="G19" i="2"/>
  <c r="D14" i="2"/>
  <c r="E14" i="2"/>
  <c r="C14" i="2"/>
  <c r="D17" i="2"/>
  <c r="D19" i="2"/>
  <c r="D18" i="2"/>
  <c r="J18" i="2" l="1"/>
  <c r="J19" i="2"/>
  <c r="J17" i="2"/>
</calcChain>
</file>

<file path=xl/sharedStrings.xml><?xml version="1.0" encoding="utf-8"?>
<sst xmlns="http://schemas.openxmlformats.org/spreadsheetml/2006/main" count="109" uniqueCount="52">
  <si>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</si>
  <si>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</si>
  <si>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</si>
  <si>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</si>
  <si>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</si>
  <si>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</si>
  <si>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</si>
  <si>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</si>
  <si>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</si>
  <si>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</si>
  <si>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</si>
  <si>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</si>
  <si>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</si>
  <si>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</si>
  <si>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</si>
  <si>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</si>
  <si>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</si>
  <si>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</si>
  <si>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sample A</t>
  </si>
  <si>
    <t>sample B</t>
  </si>
  <si>
    <t>sample C</t>
  </si>
  <si>
    <t>Comparison</t>
  </si>
  <si>
    <t>A vs. B</t>
  </si>
  <si>
    <t>B vs. C</t>
  </si>
  <si>
    <t>A vs. C</t>
  </si>
  <si>
    <t>Abs .Mean Diff</t>
  </si>
  <si>
    <t>Q Critical Value</t>
  </si>
  <si>
    <t>Significant?</t>
  </si>
  <si>
    <t>Watering Frequency</t>
  </si>
  <si>
    <t>Sunlight Exposure</t>
  </si>
  <si>
    <t>None</t>
  </si>
  <si>
    <t>Low</t>
  </si>
  <si>
    <t>Medium</t>
  </si>
  <si>
    <t>High</t>
  </si>
  <si>
    <t>Daily</t>
  </si>
  <si>
    <t>Weekly</t>
  </si>
  <si>
    <t>Anova: Two-Factor With Replication</t>
  </si>
  <si>
    <t>Sample</t>
  </si>
  <si>
    <t>Columns</t>
  </si>
  <si>
    <t>Interaction</t>
  </si>
  <si>
    <t>Within</t>
  </si>
  <si>
    <t>group 1</t>
  </si>
  <si>
    <t>group 2</t>
  </si>
  <si>
    <t>group 3</t>
  </si>
  <si>
    <r>
      <t>Q</t>
    </r>
    <r>
      <rPr>
        <vertAlign val="subscript"/>
        <sz val="12"/>
        <color theme="1"/>
        <rFont val="Calibri"/>
        <family val="2"/>
        <scheme val="minor"/>
      </rPr>
      <t>0.05; 27; 3</t>
    </r>
  </si>
  <si>
    <t>Pooled Variance</t>
  </si>
  <si>
    <t>Formula &gt;&gt;</t>
  </si>
  <si>
    <t>variance &gt;&gt;</t>
  </si>
  <si>
    <t>=AVERAGE(C$14:E$14)</t>
  </si>
  <si>
    <t>=E17*SQRT(G17/10)</t>
  </si>
  <si>
    <t>=E18*SQRT(G18/10)</t>
  </si>
  <si>
    <t>=E19*SQRT(G19/10)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</si>
</sst>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43" fontId="0" fillId="0" borderId="0" xfId="1" applyFont="1"/>
    <xf numFmtId="43" fontId="3" fillId="0" borderId="3" xfId="1" applyFont="1" applyFill="1" applyBorder="1" applyAlignment="1">
      <alignment horizontal="center"/>
    </xf>
    <xf numFmtId="43" fontId="0" fillId="0" borderId="0" xfId="1" applyFont="1" applyFill="1" applyBorder="1" applyAlignment="1"/>
    <xf numFmtId="43" fontId="0" fillId="0" borderId="1" xfId="1" applyFont="1" applyFill="1" applyBorder="1" applyAlignment="1"/>
    <xf numFmtId="43" fontId="0" fillId="0" borderId="0" xfId="1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12" xfId="0" applyFont="1" applyFill="1" applyBorder="1"/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3" fontId="4" fillId="0" borderId="14" xfId="1" applyFont="1" applyFill="1" applyBorder="1" applyAlignment="1">
      <alignment horizontal="right"/>
    </xf>
    <xf numFmtId="165" fontId="0" fillId="0" borderId="0" xfId="1" applyNumberFormat="1" applyFont="1" applyFill="1" applyBorder="1" applyAlignment="1"/>
    <xf numFmtId="165" fontId="0" fillId="0" borderId="0" xfId="1" applyNumberFormat="1" applyFont="1"/>
    <xf numFmtId="165" fontId="0" fillId="0" borderId="1" xfId="1" applyNumberFormat="1" applyFont="1" applyFill="1" applyBorder="1" applyAlignment="1"/>
    <xf numFmtId="0" fontId="4" fillId="0" borderId="1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165" fontId="0" fillId="0" borderId="0" xfId="1" applyNumberFormat="1" applyFont="1" applyFill="1" applyBorder="1" applyAlignment="1">
      <alignment horizontal="left" indent="2"/>
    </xf>
    <xf numFmtId="2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43" fontId="0" fillId="0" borderId="0" xfId="0" quotePrefix="1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475F-1F68-4F1F-B682-AEC660359CDF}">
  <dimension ref="B2:M16"/>
  <sheetViews>
    <sheetView tabSelected="1" workbookViewId="0"/>
  </sheetViews>
  <sheetFormatPr defaultRowHeight="14.5" x14ac:dyDescent="0.35"/>
  <cols>
    <col min="1" max="1" width="3" style="1" customWidth="1"/>
    <col min="2" max="4" width="10.1796875" style="1" customWidth="1"/>
    <col min="5" max="6" width="8.7265625" style="1"/>
    <col min="7" max="7" width="17.7265625" style="8" bestFit="1" customWidth="1"/>
    <col min="8" max="8" width="10.08984375" style="7" bestFit="1" customWidth="1"/>
    <col min="9" max="13" width="8.90625" style="7" bestFit="1" customWidth="1"/>
    <col min="14" max="16384" width="8.7265625" style="1"/>
  </cols>
  <sheetData>
    <row r="2" spans="2:13" x14ac:dyDescent="0.35">
      <c r="B2" s="32" t="s">
        <v>41</v>
      </c>
      <c r="C2" s="32" t="s">
        <v>42</v>
      </c>
      <c r="D2" s="32" t="s">
        <v>43</v>
      </c>
      <c r="G2" s="8" t="s">
        <v>0</v>
      </c>
      <c r="H2" s="3"/>
      <c r="I2" s="3"/>
      <c r="J2" s="3"/>
      <c r="K2" s="3"/>
      <c r="L2" s="3"/>
      <c r="M2" s="3"/>
    </row>
    <row r="3" spans="2:13" x14ac:dyDescent="0.35">
      <c r="B3" s="1">
        <v>85</v>
      </c>
      <c r="C3" s="1">
        <v>91</v>
      </c>
      <c r="D3" s="1">
        <v>79</v>
      </c>
      <c r="H3" s="3"/>
      <c r="I3" s="3"/>
      <c r="J3" s="3"/>
      <c r="K3" s="3"/>
      <c r="L3" s="3"/>
      <c r="M3" s="3"/>
    </row>
    <row r="4" spans="2:13" ht="15" thickBot="1" x14ac:dyDescent="0.4">
      <c r="B4" s="1">
        <v>86</v>
      </c>
      <c r="C4" s="1">
        <v>92</v>
      </c>
      <c r="D4" s="1">
        <v>78</v>
      </c>
      <c r="G4" s="8" t="s">
        <v>1</v>
      </c>
      <c r="H4" s="3"/>
      <c r="I4" s="3"/>
      <c r="J4" s="3"/>
      <c r="K4" s="3"/>
      <c r="L4" s="3"/>
      <c r="M4" s="3"/>
    </row>
    <row r="5" spans="2:13" x14ac:dyDescent="0.35">
      <c r="B5" s="1">
        <v>88</v>
      </c>
      <c r="C5" s="1">
        <v>93</v>
      </c>
      <c r="D5" s="1">
        <v>88</v>
      </c>
      <c r="G5" s="30" t="s">
        <v>2</v>
      </c>
      <c r="H5" s="4" t="s">
        <v>3</v>
      </c>
      <c r="I5" s="4" t="s">
        <v>4</v>
      </c>
      <c r="J5" s="4" t="s">
        <v>5</v>
      </c>
      <c r="K5" s="4" t="s">
        <v>6</v>
      </c>
      <c r="L5" s="3"/>
      <c r="M5" s="3"/>
    </row>
    <row r="6" spans="2:13" x14ac:dyDescent="0.35">
      <c r="B6" s="1">
        <v>75</v>
      </c>
      <c r="C6" s="1">
        <v>85</v>
      </c>
      <c r="D6" s="1">
        <v>94</v>
      </c>
      <c r="G6" s="8" t="s">
        <v>41</v>
      </c>
      <c r="H6" s="26">
        <v>10</v>
      </c>
      <c r="I6" s="5">
        <v>834</v>
      </c>
      <c r="J6" s="5">
        <v>83.4</v>
      </c>
      <c r="K6" s="5">
        <v>71.155555555555566</v>
      </c>
      <c r="L6" s="3"/>
      <c r="M6" s="3"/>
    </row>
    <row r="7" spans="2:13" x14ac:dyDescent="0.35">
      <c r="B7" s="1">
        <v>78</v>
      </c>
      <c r="C7" s="1">
        <v>87</v>
      </c>
      <c r="D7" s="1">
        <v>92</v>
      </c>
      <c r="G7" s="8" t="s">
        <v>42</v>
      </c>
      <c r="H7" s="26">
        <v>10</v>
      </c>
      <c r="I7" s="5">
        <v>893</v>
      </c>
      <c r="J7" s="5">
        <v>89.3</v>
      </c>
      <c r="K7" s="5">
        <v>23.122222222222224</v>
      </c>
      <c r="L7" s="3"/>
      <c r="M7" s="3"/>
    </row>
    <row r="8" spans="2:13" ht="15" thickBot="1" x14ac:dyDescent="0.4">
      <c r="B8" s="1">
        <v>94</v>
      </c>
      <c r="C8" s="1">
        <v>84</v>
      </c>
      <c r="D8" s="1">
        <v>85</v>
      </c>
      <c r="G8" s="31" t="s">
        <v>43</v>
      </c>
      <c r="H8" s="28">
        <v>10</v>
      </c>
      <c r="I8" s="6">
        <v>847</v>
      </c>
      <c r="J8" s="6">
        <v>84.7</v>
      </c>
      <c r="K8" s="6">
        <v>28.011111111111113</v>
      </c>
      <c r="L8" s="3"/>
      <c r="M8" s="3"/>
    </row>
    <row r="9" spans="2:13" x14ac:dyDescent="0.35">
      <c r="B9" s="1">
        <v>98</v>
      </c>
      <c r="C9" s="1">
        <v>82</v>
      </c>
      <c r="D9" s="1">
        <v>83</v>
      </c>
      <c r="H9" s="3"/>
      <c r="I9" s="3"/>
      <c r="J9" s="3"/>
      <c r="K9" s="3"/>
      <c r="L9" s="3"/>
      <c r="M9" s="3"/>
    </row>
    <row r="10" spans="2:13" x14ac:dyDescent="0.35">
      <c r="B10" s="1">
        <v>79</v>
      </c>
      <c r="C10" s="1">
        <v>88</v>
      </c>
      <c r="D10" s="1">
        <v>85</v>
      </c>
      <c r="H10" s="3"/>
      <c r="I10" s="3"/>
      <c r="J10" s="3"/>
      <c r="K10" s="3"/>
      <c r="L10" s="3"/>
      <c r="M10" s="3"/>
    </row>
    <row r="11" spans="2:13" ht="15" thickBot="1" x14ac:dyDescent="0.4">
      <c r="B11" s="1">
        <v>71</v>
      </c>
      <c r="C11" s="1">
        <v>95</v>
      </c>
      <c r="D11" s="1">
        <v>82</v>
      </c>
      <c r="G11" s="8" t="s">
        <v>7</v>
      </c>
      <c r="H11" s="3"/>
      <c r="I11" s="3"/>
      <c r="J11" s="3"/>
      <c r="K11" s="3"/>
      <c r="L11" s="3"/>
      <c r="M11" s="3"/>
    </row>
    <row r="12" spans="2:13" x14ac:dyDescent="0.35">
      <c r="B12" s="1">
        <v>80</v>
      </c>
      <c r="C12" s="1">
        <v>96</v>
      </c>
      <c r="D12" s="1">
        <v>81</v>
      </c>
      <c r="G12" s="30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</row>
    <row r="13" spans="2:13" x14ac:dyDescent="0.35">
      <c r="G13" s="8" t="s">
        <v>15</v>
      </c>
      <c r="H13" s="5">
        <v>192.19999999999982</v>
      </c>
      <c r="I13" s="33">
        <v>2</v>
      </c>
      <c r="J13" s="5">
        <v>96.099999999999909</v>
      </c>
      <c r="K13" s="5">
        <v>2.3575322551335609</v>
      </c>
      <c r="L13" s="5">
        <v>0.11384795345837238</v>
      </c>
      <c r="M13" s="5">
        <v>3.3541308285291991</v>
      </c>
    </row>
    <row r="14" spans="2:13" x14ac:dyDescent="0.35">
      <c r="G14" s="8" t="s">
        <v>16</v>
      </c>
      <c r="H14" s="5">
        <v>1100.6000000000001</v>
      </c>
      <c r="I14" s="5">
        <v>27</v>
      </c>
      <c r="J14" s="5">
        <v>40.762962962962966</v>
      </c>
      <c r="K14" s="5"/>
      <c r="L14" s="5"/>
      <c r="M14" s="5"/>
    </row>
    <row r="15" spans="2:13" x14ac:dyDescent="0.35">
      <c r="H15" s="5"/>
      <c r="I15" s="5"/>
      <c r="J15" s="5"/>
      <c r="K15" s="5"/>
      <c r="L15" s="5"/>
      <c r="M15" s="5"/>
    </row>
    <row r="16" spans="2:13" ht="15" thickBot="1" x14ac:dyDescent="0.4">
      <c r="G16" s="31" t="s">
        <v>17</v>
      </c>
      <c r="H16" s="6">
        <v>1292.8</v>
      </c>
      <c r="I16" s="6">
        <v>29</v>
      </c>
      <c r="J16" s="6"/>
      <c r="K16" s="6"/>
      <c r="L16" s="6"/>
      <c r="M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C16D-C7BE-4F03-99FC-B2728960BFFF}">
  <dimension ref="B1:T21"/>
  <sheetViews>
    <sheetView workbookViewId="0"/>
  </sheetViews>
  <sheetFormatPr defaultRowHeight="14.5" customHeight="1" x14ac:dyDescent="0.35"/>
  <cols>
    <col min="1" max="1" width="3.08984375" customWidth="1"/>
    <col min="2" max="2" width="10.26953125" bestFit="1" customWidth="1"/>
    <col min="3" max="3" width="12.1796875" style="1" customWidth="1"/>
    <col min="4" max="4" width="13.26953125" style="1" bestFit="1" customWidth="1"/>
    <col min="5" max="5" width="12.1796875" style="1" customWidth="1"/>
    <col min="6" max="6" width="21.7265625" style="1" bestFit="1" customWidth="1"/>
    <col min="7" max="7" width="14.26953125" style="1" bestFit="1" customWidth="1"/>
    <col min="8" max="8" width="19.81640625" style="1" customWidth="1"/>
    <col min="9" max="9" width="13.36328125" style="1" customWidth="1"/>
    <col min="10" max="10" width="11.90625" customWidth="1"/>
    <col min="11" max="11" width="8.7265625" style="3"/>
    <col min="12" max="12" width="17.7265625" style="3" bestFit="1" customWidth="1"/>
    <col min="13" max="18" width="9.81640625" style="3" customWidth="1"/>
  </cols>
  <sheetData>
    <row r="1" spans="2:20" ht="14.5" customHeight="1" x14ac:dyDescent="0.35">
      <c r="K1"/>
      <c r="L1" s="8"/>
    </row>
    <row r="2" spans="2:20" ht="14.5" customHeight="1" x14ac:dyDescent="0.35">
      <c r="C2" s="32" t="s">
        <v>18</v>
      </c>
      <c r="D2" s="32" t="s">
        <v>19</v>
      </c>
      <c r="E2" s="32" t="s">
        <v>20</v>
      </c>
      <c r="L2" t="s">
        <v>0</v>
      </c>
    </row>
    <row r="3" spans="2:20" ht="14.5" customHeight="1" x14ac:dyDescent="0.35">
      <c r="C3" s="1">
        <v>10</v>
      </c>
      <c r="D3" s="1">
        <v>15</v>
      </c>
      <c r="E3" s="1">
        <v>19</v>
      </c>
      <c r="L3"/>
    </row>
    <row r="4" spans="2:20" ht="14.5" customHeight="1" thickBot="1" x14ac:dyDescent="0.4">
      <c r="C4" s="1">
        <v>13</v>
      </c>
      <c r="D4" s="1">
        <v>17</v>
      </c>
      <c r="E4" s="1">
        <v>20</v>
      </c>
      <c r="L4" t="s">
        <v>1</v>
      </c>
      <c r="T4" s="9"/>
    </row>
    <row r="5" spans="2:20" ht="14.5" customHeight="1" x14ac:dyDescent="0.35">
      <c r="C5" s="1">
        <v>14</v>
      </c>
      <c r="D5" s="1">
        <v>20</v>
      </c>
      <c r="E5" s="1">
        <v>22</v>
      </c>
      <c r="L5" s="41" t="s">
        <v>2</v>
      </c>
      <c r="M5" s="4" t="s">
        <v>3</v>
      </c>
      <c r="N5" s="4" t="s">
        <v>4</v>
      </c>
      <c r="O5" s="4" t="s">
        <v>5</v>
      </c>
      <c r="P5" s="4" t="s">
        <v>6</v>
      </c>
    </row>
    <row r="6" spans="2:20" ht="14.5" customHeight="1" x14ac:dyDescent="0.35">
      <c r="C6" s="1">
        <v>16</v>
      </c>
      <c r="D6" s="1">
        <v>22</v>
      </c>
      <c r="E6" s="1">
        <v>24</v>
      </c>
      <c r="K6"/>
      <c r="L6" s="39" t="s">
        <v>18</v>
      </c>
      <c r="M6" s="26">
        <v>10</v>
      </c>
      <c r="N6" s="5">
        <v>169</v>
      </c>
      <c r="O6" s="5">
        <v>16.899999999999999</v>
      </c>
      <c r="P6" s="5">
        <v>15.433333333333344</v>
      </c>
    </row>
    <row r="7" spans="2:20" ht="14.5" customHeight="1" x14ac:dyDescent="0.35">
      <c r="C7" s="1">
        <v>16</v>
      </c>
      <c r="D7" s="1">
        <v>25</v>
      </c>
      <c r="E7" s="1">
        <v>24</v>
      </c>
      <c r="K7"/>
      <c r="L7" s="39" t="s">
        <v>19</v>
      </c>
      <c r="M7" s="26">
        <v>10</v>
      </c>
      <c r="N7" s="5">
        <v>240</v>
      </c>
      <c r="O7" s="5">
        <v>24</v>
      </c>
      <c r="P7" s="5">
        <v>28.666666666666668</v>
      </c>
    </row>
    <row r="8" spans="2:20" ht="14.5" customHeight="1" thickBot="1" x14ac:dyDescent="0.4">
      <c r="C8" s="1">
        <v>17</v>
      </c>
      <c r="D8" s="1">
        <v>26</v>
      </c>
      <c r="E8" s="1">
        <v>26</v>
      </c>
      <c r="K8"/>
      <c r="L8" s="40" t="s">
        <v>20</v>
      </c>
      <c r="M8" s="28">
        <v>10</v>
      </c>
      <c r="N8" s="6">
        <v>248</v>
      </c>
      <c r="O8" s="6">
        <v>24.8</v>
      </c>
      <c r="P8" s="6">
        <v>13.066666666666707</v>
      </c>
    </row>
    <row r="9" spans="2:20" ht="14.5" customHeight="1" x14ac:dyDescent="0.35">
      <c r="C9" s="1">
        <v>19</v>
      </c>
      <c r="D9" s="1">
        <v>27</v>
      </c>
      <c r="E9" s="1">
        <v>27</v>
      </c>
      <c r="K9"/>
      <c r="L9"/>
    </row>
    <row r="10" spans="2:20" ht="14.5" customHeight="1" x14ac:dyDescent="0.35">
      <c r="C10" s="1">
        <v>20</v>
      </c>
      <c r="D10" s="1">
        <v>27</v>
      </c>
      <c r="E10" s="1">
        <v>28</v>
      </c>
      <c r="K10"/>
      <c r="L10"/>
    </row>
    <row r="11" spans="2:20" ht="14.5" customHeight="1" thickBot="1" x14ac:dyDescent="0.4">
      <c r="C11" s="1">
        <v>22</v>
      </c>
      <c r="D11" s="1">
        <v>30</v>
      </c>
      <c r="E11" s="1">
        <v>29</v>
      </c>
      <c r="K11"/>
      <c r="L11" t="s">
        <v>7</v>
      </c>
    </row>
    <row r="12" spans="2:20" ht="14.5" customHeight="1" x14ac:dyDescent="0.35">
      <c r="C12" s="1">
        <v>22</v>
      </c>
      <c r="D12" s="1">
        <v>31</v>
      </c>
      <c r="E12" s="1">
        <v>29</v>
      </c>
      <c r="K12"/>
      <c r="L12" s="41" t="s">
        <v>8</v>
      </c>
      <c r="M12" s="4" t="s">
        <v>9</v>
      </c>
      <c r="N12" s="4" t="s">
        <v>10</v>
      </c>
      <c r="O12" s="4" t="s">
        <v>11</v>
      </c>
      <c r="P12" s="4" t="s">
        <v>12</v>
      </c>
      <c r="Q12" s="4" t="s">
        <v>13</v>
      </c>
      <c r="R12" s="4" t="s">
        <v>14</v>
      </c>
    </row>
    <row r="13" spans="2:20" ht="14.5" customHeight="1" x14ac:dyDescent="0.35">
      <c r="K13"/>
      <c r="L13" s="39" t="s">
        <v>15</v>
      </c>
      <c r="M13" s="5">
        <v>378.19999999999993</v>
      </c>
      <c r="N13" s="5">
        <v>2</v>
      </c>
      <c r="O13" s="5">
        <v>189.09999999999997</v>
      </c>
      <c r="P13" s="5">
        <v>9.9236151603498524</v>
      </c>
      <c r="Q13" s="5">
        <v>5.877300528339093E-4</v>
      </c>
      <c r="R13" s="5">
        <v>3.3541308285291991</v>
      </c>
    </row>
    <row r="14" spans="2:20" ht="14.5" customHeight="1" x14ac:dyDescent="0.35">
      <c r="B14" t="s">
        <v>47</v>
      </c>
      <c r="C14" s="34">
        <f>_xlfn.VAR.S(C3:C12)</f>
        <v>15.433333333333344</v>
      </c>
      <c r="D14" s="34">
        <f t="shared" ref="D14:E14" si="0">_xlfn.VAR.S(D3:D12)</f>
        <v>28.666666666666668</v>
      </c>
      <c r="E14" s="34">
        <f t="shared" si="0"/>
        <v>13.066666666666707</v>
      </c>
      <c r="K14"/>
      <c r="L14" s="39" t="s">
        <v>16</v>
      </c>
      <c r="M14" s="5">
        <v>514.5</v>
      </c>
      <c r="N14" s="5">
        <v>27</v>
      </c>
      <c r="O14" s="5">
        <v>19.055555555555557</v>
      </c>
      <c r="P14" s="5"/>
      <c r="Q14" s="5"/>
      <c r="R14" s="5"/>
    </row>
    <row r="15" spans="2:20" ht="14.5" customHeight="1" x14ac:dyDescent="0.35">
      <c r="K15"/>
      <c r="L15" s="39"/>
      <c r="M15" s="5"/>
      <c r="N15" s="5"/>
      <c r="O15" s="5"/>
      <c r="P15" s="5"/>
      <c r="Q15" s="5"/>
      <c r="R15" s="5"/>
    </row>
    <row r="16" spans="2:20" ht="14.5" customHeight="1" thickBot="1" x14ac:dyDescent="0.5">
      <c r="C16" s="32" t="s">
        <v>21</v>
      </c>
      <c r="D16" s="32" t="s">
        <v>25</v>
      </c>
      <c r="E16" s="32" t="s">
        <v>44</v>
      </c>
      <c r="F16" s="32" t="s">
        <v>46</v>
      </c>
      <c r="G16" s="32" t="s">
        <v>45</v>
      </c>
      <c r="H16" s="32" t="s">
        <v>46</v>
      </c>
      <c r="I16" s="32" t="s">
        <v>26</v>
      </c>
      <c r="J16" s="32" t="s">
        <v>27</v>
      </c>
      <c r="K16"/>
      <c r="L16" s="40" t="s">
        <v>17</v>
      </c>
      <c r="M16" s="6">
        <v>892.69999999999993</v>
      </c>
      <c r="N16" s="6">
        <v>29</v>
      </c>
      <c r="O16" s="6"/>
      <c r="P16" s="6"/>
      <c r="Q16" s="6"/>
      <c r="R16" s="6"/>
    </row>
    <row r="17" spans="3:11" ht="14.5" customHeight="1" x14ac:dyDescent="0.35">
      <c r="C17" s="1" t="s">
        <v>22</v>
      </c>
      <c r="D17" s="34">
        <f>ABS(AVERAGE(C3:C12)-AVERAGE(D3:D12))</f>
        <v>7.1000000000000014</v>
      </c>
      <c r="E17" s="1">
        <v>3.5059999999999998</v>
      </c>
      <c r="F17" s="38" t="s">
        <v>48</v>
      </c>
      <c r="G17" s="36">
        <f>AVERAGE(C$14:E$14)</f>
        <v>19.055555555555571</v>
      </c>
      <c r="H17" s="37" t="s">
        <v>49</v>
      </c>
      <c r="I17" s="36">
        <f>E17*SQRT(G17/10)</f>
        <v>4.8397476678943612</v>
      </c>
      <c r="J17" s="1" t="str">
        <f>IF(D17&gt;I17,"Yes","No")</f>
        <v>Yes</v>
      </c>
      <c r="K17"/>
    </row>
    <row r="18" spans="3:11" ht="14.5" customHeight="1" x14ac:dyDescent="0.35">
      <c r="C18" s="1" t="s">
        <v>23</v>
      </c>
      <c r="D18" s="34">
        <f>ABS(AVERAGE(D3:D12)-AVERAGE(E3:E12))</f>
        <v>0.80000000000000071</v>
      </c>
      <c r="E18" s="1">
        <v>3.5059999999999998</v>
      </c>
      <c r="F18" s="38" t="s">
        <v>48</v>
      </c>
      <c r="G18" s="36">
        <f t="shared" ref="G18:G19" si="1">AVERAGE($C$14:$E$14)</f>
        <v>19.055555555555571</v>
      </c>
      <c r="H18" s="37" t="s">
        <v>50</v>
      </c>
      <c r="I18" s="36">
        <f>E18*SQRT(G18/10)</f>
        <v>4.8397476678943612</v>
      </c>
      <c r="J18" s="1" t="str">
        <f>IF(D18&gt;I18,"Yes","No")</f>
        <v>No</v>
      </c>
      <c r="K18"/>
    </row>
    <row r="19" spans="3:11" ht="14.5" customHeight="1" x14ac:dyDescent="0.35">
      <c r="C19" s="1" t="s">
        <v>24</v>
      </c>
      <c r="D19" s="34">
        <f>ABS(AVERAGE(C3:C12)-AVERAGE(E3:E12))</f>
        <v>7.9000000000000021</v>
      </c>
      <c r="E19" s="1">
        <v>3.5059999999999998</v>
      </c>
      <c r="F19" s="38" t="s">
        <v>48</v>
      </c>
      <c r="G19" s="36">
        <f t="shared" si="1"/>
        <v>19.055555555555571</v>
      </c>
      <c r="H19" s="37" t="s">
        <v>51</v>
      </c>
      <c r="I19" s="36">
        <f>E19*SQRT(G19/10)</f>
        <v>4.8397476678943612</v>
      </c>
      <c r="J19" s="1" t="str">
        <f>IF(D19&gt;I19,"Yes","No")</f>
        <v>Yes</v>
      </c>
      <c r="K19"/>
    </row>
    <row r="21" spans="3:11" ht="14.5" customHeight="1" x14ac:dyDescent="0.35">
      <c r="C2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7BA8-FAF0-4366-A822-39E3DB5AB722}">
  <dimension ref="B2:N31"/>
  <sheetViews>
    <sheetView workbookViewId="0">
      <selection activeCell="B15" sqref="B15"/>
    </sheetView>
  </sheetViews>
  <sheetFormatPr defaultRowHeight="14.5" x14ac:dyDescent="0.35"/>
  <cols>
    <col min="1" max="1" width="3" customWidth="1"/>
    <col min="2" max="2" width="17.7265625" bestFit="1" customWidth="1"/>
    <col min="3" max="6" width="8.7265625" style="1"/>
    <col min="8" max="8" width="17.08984375" style="8" customWidth="1"/>
    <col min="9" max="13" width="8.7265625" style="3"/>
  </cols>
  <sheetData>
    <row r="2" spans="2:13" x14ac:dyDescent="0.35">
      <c r="C2" s="35" t="s">
        <v>29</v>
      </c>
      <c r="D2" s="35"/>
      <c r="E2" s="35"/>
      <c r="F2" s="35"/>
      <c r="H2" s="8" t="s">
        <v>36</v>
      </c>
    </row>
    <row r="3" spans="2:13" x14ac:dyDescent="0.35">
      <c r="B3" s="21" t="s">
        <v>28</v>
      </c>
      <c r="C3" s="22" t="s">
        <v>30</v>
      </c>
      <c r="D3" s="23" t="s">
        <v>31</v>
      </c>
      <c r="E3" s="23" t="s">
        <v>32</v>
      </c>
      <c r="F3" s="24" t="s">
        <v>33</v>
      </c>
    </row>
    <row r="4" spans="2:13" x14ac:dyDescent="0.35">
      <c r="B4" s="11" t="s">
        <v>34</v>
      </c>
      <c r="C4" s="13">
        <v>4.8</v>
      </c>
      <c r="D4" s="1">
        <v>5</v>
      </c>
      <c r="E4" s="1">
        <v>6.4</v>
      </c>
      <c r="F4" s="14">
        <v>6.3</v>
      </c>
      <c r="H4" s="8" t="s">
        <v>1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17</v>
      </c>
    </row>
    <row r="5" spans="2:13" ht="15" thickBot="1" x14ac:dyDescent="0.4">
      <c r="B5" s="11"/>
      <c r="C5" s="13">
        <v>4.4000000000000004</v>
      </c>
      <c r="D5" s="1">
        <v>5.2</v>
      </c>
      <c r="E5" s="1">
        <v>6.2</v>
      </c>
      <c r="F5" s="14">
        <v>6.4</v>
      </c>
      <c r="H5" s="29" t="s">
        <v>34</v>
      </c>
      <c r="I5" s="25"/>
      <c r="J5" s="25"/>
      <c r="K5" s="25"/>
      <c r="L5" s="25"/>
      <c r="M5" s="25"/>
    </row>
    <row r="6" spans="2:13" x14ac:dyDescent="0.35">
      <c r="B6" s="11"/>
      <c r="C6" s="13">
        <v>3.2</v>
      </c>
      <c r="D6" s="1">
        <v>5.6</v>
      </c>
      <c r="E6" s="1">
        <v>4.7</v>
      </c>
      <c r="F6" s="14">
        <v>5.6</v>
      </c>
      <c r="H6" s="8" t="s">
        <v>3</v>
      </c>
      <c r="I6" s="26">
        <v>5</v>
      </c>
      <c r="J6" s="26">
        <v>5</v>
      </c>
      <c r="K6" s="26">
        <v>5</v>
      </c>
      <c r="L6" s="26">
        <v>5</v>
      </c>
      <c r="M6" s="26">
        <v>20</v>
      </c>
    </row>
    <row r="7" spans="2:13" x14ac:dyDescent="0.35">
      <c r="B7" s="11"/>
      <c r="C7" s="13">
        <v>3.9</v>
      </c>
      <c r="D7" s="1">
        <v>4.3</v>
      </c>
      <c r="E7" s="1">
        <v>5.5</v>
      </c>
      <c r="F7" s="14">
        <v>4.8</v>
      </c>
      <c r="H7" s="8" t="s">
        <v>4</v>
      </c>
      <c r="I7" s="5">
        <v>20.699999999999996</v>
      </c>
      <c r="J7" s="5">
        <v>24.9</v>
      </c>
      <c r="K7" s="5">
        <v>28.6</v>
      </c>
      <c r="L7" s="5">
        <v>28.9</v>
      </c>
      <c r="M7" s="5">
        <v>103.10000000000001</v>
      </c>
    </row>
    <row r="8" spans="2:13" x14ac:dyDescent="0.35">
      <c r="B8" s="12"/>
      <c r="C8" s="15">
        <v>4.4000000000000004</v>
      </c>
      <c r="D8" s="16">
        <v>4.8</v>
      </c>
      <c r="E8" s="16">
        <v>5.8</v>
      </c>
      <c r="F8" s="17">
        <v>5.8</v>
      </c>
      <c r="H8" s="8" t="s">
        <v>5</v>
      </c>
      <c r="I8" s="5">
        <v>4.1399999999999988</v>
      </c>
      <c r="J8" s="5">
        <v>4.9799999999999995</v>
      </c>
      <c r="K8" s="5">
        <v>5.7200000000000006</v>
      </c>
      <c r="L8" s="5">
        <v>5.7799999999999994</v>
      </c>
      <c r="M8" s="5">
        <v>5.1550000000000002</v>
      </c>
    </row>
    <row r="9" spans="2:13" x14ac:dyDescent="0.35">
      <c r="B9" s="10" t="s">
        <v>35</v>
      </c>
      <c r="C9" s="18">
        <v>4.4000000000000004</v>
      </c>
      <c r="D9" s="19">
        <v>4.9000000000000004</v>
      </c>
      <c r="E9" s="19">
        <v>5.8</v>
      </c>
      <c r="F9" s="20">
        <v>6</v>
      </c>
      <c r="H9" s="8" t="s">
        <v>6</v>
      </c>
      <c r="I9" s="5">
        <v>0.37800000000001077</v>
      </c>
      <c r="J9" s="5">
        <v>0.23199999999999996</v>
      </c>
      <c r="K9" s="5">
        <v>0.44699999999999562</v>
      </c>
      <c r="L9" s="5">
        <v>0.41200000000000014</v>
      </c>
      <c r="M9" s="5">
        <v>0.77523684210526478</v>
      </c>
    </row>
    <row r="10" spans="2:13" x14ac:dyDescent="0.35">
      <c r="B10" s="11"/>
      <c r="C10" s="13">
        <v>4.2</v>
      </c>
      <c r="D10" s="1">
        <v>5.3</v>
      </c>
      <c r="E10" s="1">
        <v>6.2</v>
      </c>
      <c r="F10" s="14">
        <v>4.9000000000000004</v>
      </c>
      <c r="I10" s="5"/>
      <c r="J10" s="5"/>
      <c r="K10" s="5"/>
      <c r="L10" s="5"/>
      <c r="M10" s="5"/>
    </row>
    <row r="11" spans="2:13" ht="15" thickBot="1" x14ac:dyDescent="0.4">
      <c r="B11" s="11"/>
      <c r="C11" s="13">
        <v>3.8</v>
      </c>
      <c r="D11" s="1">
        <v>5.7</v>
      </c>
      <c r="E11" s="1">
        <v>6.3</v>
      </c>
      <c r="F11" s="14">
        <v>4.5999999999999996</v>
      </c>
      <c r="H11" s="29" t="s">
        <v>35</v>
      </c>
      <c r="I11" s="25"/>
      <c r="J11" s="25"/>
      <c r="K11" s="25"/>
      <c r="L11" s="25"/>
      <c r="M11" s="25"/>
    </row>
    <row r="12" spans="2:13" x14ac:dyDescent="0.35">
      <c r="B12" s="11"/>
      <c r="C12" s="13">
        <v>3.7</v>
      </c>
      <c r="D12" s="1">
        <v>5.4</v>
      </c>
      <c r="E12" s="1">
        <v>6.5</v>
      </c>
      <c r="F12" s="14">
        <v>5.6</v>
      </c>
      <c r="H12" s="8" t="s">
        <v>3</v>
      </c>
      <c r="I12" s="26">
        <v>5</v>
      </c>
      <c r="J12" s="26">
        <v>5</v>
      </c>
      <c r="K12" s="26">
        <v>5</v>
      </c>
      <c r="L12" s="26">
        <v>5</v>
      </c>
      <c r="M12" s="26">
        <v>20</v>
      </c>
    </row>
    <row r="13" spans="2:13" x14ac:dyDescent="0.35">
      <c r="B13" s="12"/>
      <c r="C13" s="15">
        <v>3.9</v>
      </c>
      <c r="D13" s="16">
        <v>4.8</v>
      </c>
      <c r="E13" s="16">
        <v>5.5</v>
      </c>
      <c r="F13" s="17">
        <v>5.5</v>
      </c>
      <c r="H13" s="8" t="s">
        <v>4</v>
      </c>
      <c r="I13" s="5">
        <v>20</v>
      </c>
      <c r="J13" s="5">
        <v>26.099999999999998</v>
      </c>
      <c r="K13" s="5">
        <v>30.3</v>
      </c>
      <c r="L13" s="5">
        <v>26.6</v>
      </c>
      <c r="M13" s="5">
        <v>103</v>
      </c>
    </row>
    <row r="14" spans="2:13" x14ac:dyDescent="0.35">
      <c r="H14" s="8" t="s">
        <v>5</v>
      </c>
      <c r="I14" s="5">
        <v>4</v>
      </c>
      <c r="J14" s="5">
        <v>5.22</v>
      </c>
      <c r="K14" s="5">
        <v>6.0600000000000005</v>
      </c>
      <c r="L14" s="5">
        <v>5.32</v>
      </c>
      <c r="M14" s="5">
        <v>5.15</v>
      </c>
    </row>
    <row r="15" spans="2:13" x14ac:dyDescent="0.35">
      <c r="H15" s="8" t="s">
        <v>6</v>
      </c>
      <c r="I15" s="5">
        <v>8.5000000000000075E-2</v>
      </c>
      <c r="J15" s="5">
        <v>0.13700000000000007</v>
      </c>
      <c r="K15" s="5">
        <v>0.16300000000000001</v>
      </c>
      <c r="L15" s="5">
        <v>0.317</v>
      </c>
      <c r="M15" s="5">
        <v>0.7226315789473694</v>
      </c>
    </row>
    <row r="16" spans="2:13" x14ac:dyDescent="0.35">
      <c r="I16" s="5"/>
      <c r="J16" s="5"/>
      <c r="K16" s="5"/>
      <c r="L16" s="5"/>
      <c r="M16" s="5"/>
    </row>
    <row r="17" spans="8:14" ht="15" thickBot="1" x14ac:dyDescent="0.4">
      <c r="H17" s="29" t="s">
        <v>17</v>
      </c>
      <c r="I17" s="25"/>
      <c r="J17" s="25"/>
      <c r="K17" s="25"/>
      <c r="L17" s="25"/>
    </row>
    <row r="18" spans="8:14" x14ac:dyDescent="0.35">
      <c r="H18" s="8" t="s">
        <v>3</v>
      </c>
      <c r="I18" s="26">
        <v>10</v>
      </c>
      <c r="J18" s="26">
        <v>10</v>
      </c>
      <c r="K18" s="26">
        <v>10</v>
      </c>
      <c r="L18" s="27">
        <v>10</v>
      </c>
    </row>
    <row r="19" spans="8:14" x14ac:dyDescent="0.35">
      <c r="H19" s="8" t="s">
        <v>4</v>
      </c>
      <c r="I19" s="5">
        <v>40.699999999999996</v>
      </c>
      <c r="J19" s="5">
        <v>51</v>
      </c>
      <c r="K19" s="5">
        <v>58.900000000000006</v>
      </c>
      <c r="L19" s="3">
        <v>55.5</v>
      </c>
    </row>
    <row r="20" spans="8:14" x14ac:dyDescent="0.35">
      <c r="H20" s="8" t="s">
        <v>5</v>
      </c>
      <c r="I20" s="5">
        <v>4.0699999999999994</v>
      </c>
      <c r="J20" s="5">
        <v>5.0999999999999996</v>
      </c>
      <c r="K20" s="5">
        <v>5.89</v>
      </c>
      <c r="L20" s="3">
        <v>5.55</v>
      </c>
    </row>
    <row r="21" spans="8:14" x14ac:dyDescent="0.35">
      <c r="H21" s="8" t="s">
        <v>6</v>
      </c>
      <c r="I21" s="5">
        <v>0.21122222222222969</v>
      </c>
      <c r="J21" s="5">
        <v>0.18000000000000005</v>
      </c>
      <c r="K21" s="5">
        <v>0.30322222222222223</v>
      </c>
      <c r="L21" s="3">
        <v>0.382777777777777</v>
      </c>
    </row>
    <row r="22" spans="8:14" x14ac:dyDescent="0.35">
      <c r="I22" s="5"/>
      <c r="J22" s="5"/>
      <c r="K22" s="5"/>
    </row>
    <row r="24" spans="8:14" ht="15" thickBot="1" x14ac:dyDescent="0.4">
      <c r="H24" s="8" t="s">
        <v>7</v>
      </c>
    </row>
    <row r="25" spans="8:14" x14ac:dyDescent="0.35">
      <c r="H25" s="30" t="s">
        <v>8</v>
      </c>
      <c r="I25" s="4" t="s">
        <v>9</v>
      </c>
      <c r="J25" s="4" t="s">
        <v>10</v>
      </c>
      <c r="K25" s="4" t="s">
        <v>11</v>
      </c>
      <c r="L25" s="4" t="s">
        <v>12</v>
      </c>
      <c r="M25" s="4" t="s">
        <v>13</v>
      </c>
      <c r="N25" s="2" t="s">
        <v>14</v>
      </c>
    </row>
    <row r="26" spans="8:14" x14ac:dyDescent="0.35">
      <c r="H26" s="8" t="s">
        <v>37</v>
      </c>
      <c r="I26" s="5">
        <v>2.4999999999408828E-4</v>
      </c>
      <c r="J26" s="26">
        <v>1</v>
      </c>
      <c r="K26" s="5">
        <v>2.4999999999408828E-4</v>
      </c>
      <c r="L26" s="5">
        <v>9.2123445414680149E-4</v>
      </c>
      <c r="M26" s="5">
        <v>0.97597496585772459</v>
      </c>
      <c r="N26" s="5">
        <v>4.1490974456995477</v>
      </c>
    </row>
    <row r="27" spans="8:14" x14ac:dyDescent="0.35">
      <c r="H27" s="8" t="s">
        <v>38</v>
      </c>
      <c r="I27" s="5">
        <v>18.764749999999992</v>
      </c>
      <c r="J27" s="5">
        <v>3</v>
      </c>
      <c r="K27" s="5">
        <v>6.2549166666666638</v>
      </c>
      <c r="L27" s="5">
        <v>23.048978965146617</v>
      </c>
      <c r="M27" s="5">
        <v>3.8980882970420606E-8</v>
      </c>
      <c r="N27" s="5">
        <v>2.9011195838408388</v>
      </c>
    </row>
    <row r="28" spans="8:14" x14ac:dyDescent="0.35">
      <c r="H28" s="8" t="s">
        <v>39</v>
      </c>
      <c r="I28" s="5">
        <v>1.0107500000000051</v>
      </c>
      <c r="J28" s="5">
        <v>3</v>
      </c>
      <c r="K28" s="5">
        <v>0.33691666666666836</v>
      </c>
      <c r="L28" s="5">
        <v>1.2415169660678704</v>
      </c>
      <c r="M28" s="5">
        <v>0.31089772240900998</v>
      </c>
      <c r="N28" s="5">
        <v>2.9011195838408388</v>
      </c>
    </row>
    <row r="29" spans="8:14" x14ac:dyDescent="0.35">
      <c r="H29" s="8" t="s">
        <v>40</v>
      </c>
      <c r="I29" s="5">
        <v>8.6840000000000011</v>
      </c>
      <c r="J29" s="5">
        <v>32</v>
      </c>
      <c r="K29" s="5">
        <v>0.27137500000000003</v>
      </c>
      <c r="L29" s="5"/>
      <c r="M29" s="5"/>
      <c r="N29" s="5"/>
    </row>
    <row r="30" spans="8:14" x14ac:dyDescent="0.35">
      <c r="I30" s="5"/>
      <c r="J30" s="5"/>
      <c r="K30" s="5"/>
      <c r="L30" s="5"/>
      <c r="M30" s="5"/>
      <c r="N30" s="5"/>
    </row>
    <row r="31" spans="8:14" ht="15" thickBot="1" x14ac:dyDescent="0.4">
      <c r="H31" s="31" t="s">
        <v>17</v>
      </c>
      <c r="I31" s="6">
        <v>28.459749999999993</v>
      </c>
      <c r="J31" s="6">
        <v>39</v>
      </c>
      <c r="K31" s="6"/>
      <c r="L31" s="6"/>
      <c r="M31" s="6"/>
      <c r="N31" s="6"/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one-way</vt:lpstr>
      <vt:lpstr>tukey</vt:lpstr>
      <vt:lpstr>two-way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2024-04-20T19:32:22Z</dcterms:created>
  <dcterms:modified xsi:type="dcterms:W3CDTF">2024-04-23T02:52:00Z</dcterms:modified>
</cp:coreProperties>
</file>